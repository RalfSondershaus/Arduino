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cts\Arduino\Prj\BlinkSample\"/>
    </mc:Choice>
  </mc:AlternateContent>
  <xr:revisionPtr revIDLastSave="0" documentId="13_ncr:1_{A687E1E4-1B59-4BD0-8A8C-3268EC6135A6}" xr6:coauthVersionLast="45" xr6:coauthVersionMax="45" xr10:uidLastSave="{00000000-0000-0000-0000-000000000000}"/>
  <bookViews>
    <workbookView xWindow="0" yWindow="1590" windowWidth="21690" windowHeight="13560" xr2:uid="{8A6AD560-BEB2-4EA0-9AF0-57A222FEA1C6}"/>
  </bookViews>
  <sheets>
    <sheet name="Ratio" sheetId="1" r:id="rId1"/>
    <sheet name="CSV Expor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6" i="1" l="1"/>
  <c r="H97" i="1"/>
  <c r="H98" i="1"/>
  <c r="H99" i="1"/>
  <c r="H100" i="1"/>
  <c r="H101" i="1"/>
  <c r="H102" i="1"/>
  <c r="H103" i="1"/>
  <c r="H104" i="1"/>
  <c r="H105" i="1"/>
  <c r="H106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6" i="1"/>
  <c r="I82" i="1"/>
  <c r="I83" i="1"/>
  <c r="I84" i="1"/>
  <c r="I85" i="1"/>
  <c r="I86" i="1" s="1"/>
  <c r="I87" i="1" s="1"/>
  <c r="I88" i="1" s="1"/>
  <c r="I89" i="1" s="1"/>
  <c r="I90" i="1" s="1"/>
  <c r="I91" i="1" s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56" i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30" i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8" i="1"/>
  <c r="I9" i="1"/>
  <c r="I10" i="1"/>
  <c r="I11" i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7" i="1"/>
  <c r="I6" i="1"/>
  <c r="I4" i="1"/>
  <c r="G4" i="1"/>
  <c r="C4" i="1" l="1"/>
  <c r="E4" i="1" s="1"/>
  <c r="E6" i="1" l="1"/>
  <c r="D6" i="1" l="1"/>
  <c r="C3" i="3" s="1"/>
  <c r="E7" i="1"/>
  <c r="E8" i="1" l="1"/>
  <c r="D7" i="1"/>
  <c r="D3" i="3" s="1"/>
  <c r="E9" i="1" l="1"/>
  <c r="D8" i="1"/>
  <c r="E3" i="3" s="1"/>
  <c r="D9" i="1" l="1"/>
  <c r="F3" i="3" s="1"/>
  <c r="E10" i="1"/>
  <c r="E11" i="1" l="1"/>
  <c r="D10" i="1"/>
  <c r="G3" i="3" s="1"/>
  <c r="E12" i="1" l="1"/>
  <c r="D11" i="1"/>
  <c r="H3" i="3" s="1"/>
  <c r="E13" i="1" l="1"/>
  <c r="D12" i="1"/>
  <c r="I3" i="3" s="1"/>
  <c r="E14" i="1" l="1"/>
  <c r="D13" i="1"/>
  <c r="J3" i="3" s="1"/>
  <c r="D14" i="1" l="1"/>
  <c r="K3" i="3" s="1"/>
  <c r="E15" i="1"/>
  <c r="D15" i="1" l="1"/>
  <c r="L3" i="3" s="1"/>
  <c r="E16" i="1"/>
  <c r="E17" i="1" l="1"/>
  <c r="D16" i="1"/>
  <c r="C4" i="3" s="1"/>
  <c r="E18" i="1" l="1"/>
  <c r="D17" i="1"/>
  <c r="D4" i="3" s="1"/>
  <c r="E19" i="1" l="1"/>
  <c r="D18" i="1"/>
  <c r="E4" i="3" s="1"/>
  <c r="D19" i="1" l="1"/>
  <c r="F4" i="3" s="1"/>
  <c r="E20" i="1"/>
  <c r="E21" i="1" l="1"/>
  <c r="D20" i="1"/>
  <c r="G4" i="3" s="1"/>
  <c r="E22" i="1" l="1"/>
  <c r="D21" i="1"/>
  <c r="H4" i="3" s="1"/>
  <c r="E23" i="1" l="1"/>
  <c r="D22" i="1"/>
  <c r="I4" i="3" s="1"/>
  <c r="E24" i="1" l="1"/>
  <c r="D23" i="1"/>
  <c r="J4" i="3" s="1"/>
  <c r="E25" i="1" l="1"/>
  <c r="D24" i="1"/>
  <c r="K4" i="3" s="1"/>
  <c r="D25" i="1" l="1"/>
  <c r="L4" i="3" s="1"/>
  <c r="E26" i="1"/>
  <c r="D26" i="1" l="1"/>
  <c r="C5" i="3" s="1"/>
  <c r="E27" i="1"/>
  <c r="E28" i="1" l="1"/>
  <c r="D27" i="1"/>
  <c r="D5" i="3" s="1"/>
  <c r="E29" i="1" l="1"/>
  <c r="D28" i="1"/>
  <c r="E5" i="3" s="1"/>
  <c r="E30" i="1" l="1"/>
  <c r="D29" i="1"/>
  <c r="F5" i="3" s="1"/>
  <c r="D30" i="1" l="1"/>
  <c r="G5" i="3" s="1"/>
  <c r="E31" i="1"/>
  <c r="D31" i="1" l="1"/>
  <c r="H5" i="3" s="1"/>
  <c r="E32" i="1"/>
  <c r="E33" i="1" l="1"/>
  <c r="D32" i="1"/>
  <c r="I5" i="3" s="1"/>
  <c r="E34" i="1" l="1"/>
  <c r="D33" i="1"/>
  <c r="J5" i="3" s="1"/>
  <c r="E35" i="1" l="1"/>
  <c r="D34" i="1"/>
  <c r="K5" i="3" s="1"/>
  <c r="E36" i="1" l="1"/>
  <c r="D35" i="1"/>
  <c r="L5" i="3" s="1"/>
  <c r="E37" i="1" l="1"/>
  <c r="D36" i="1"/>
  <c r="C6" i="3" s="1"/>
  <c r="D37" i="1" l="1"/>
  <c r="D6" i="3" s="1"/>
  <c r="E38" i="1"/>
  <c r="E39" i="1" l="1"/>
  <c r="D38" i="1"/>
  <c r="E6" i="3" s="1"/>
  <c r="E40" i="1" l="1"/>
  <c r="D39" i="1"/>
  <c r="F6" i="3" s="1"/>
  <c r="E41" i="1" l="1"/>
  <c r="D40" i="1"/>
  <c r="G6" i="3" s="1"/>
  <c r="E42" i="1" l="1"/>
  <c r="D41" i="1"/>
  <c r="H6" i="3" s="1"/>
  <c r="E43" i="1" l="1"/>
  <c r="D42" i="1"/>
  <c r="I6" i="3" s="1"/>
  <c r="D43" i="1" l="1"/>
  <c r="J6" i="3" s="1"/>
  <c r="E44" i="1"/>
  <c r="D44" i="1" l="1"/>
  <c r="K6" i="3" s="1"/>
  <c r="E45" i="1"/>
  <c r="E46" i="1" l="1"/>
  <c r="D45" i="1"/>
  <c r="L6" i="3" s="1"/>
  <c r="E47" i="1" l="1"/>
  <c r="D46" i="1"/>
  <c r="C7" i="3" s="1"/>
  <c r="E48" i="1" l="1"/>
  <c r="D47" i="1"/>
  <c r="D7" i="3" s="1"/>
  <c r="D48" i="1" l="1"/>
  <c r="E7" i="3" s="1"/>
  <c r="E49" i="1"/>
  <c r="D49" i="1" l="1"/>
  <c r="F7" i="3" s="1"/>
  <c r="E50" i="1"/>
  <c r="E51" i="1" l="1"/>
  <c r="D50" i="1"/>
  <c r="G7" i="3" s="1"/>
  <c r="E52" i="1" l="1"/>
  <c r="D51" i="1"/>
  <c r="H7" i="3" s="1"/>
  <c r="D52" i="1" l="1"/>
  <c r="I7" i="3" s="1"/>
  <c r="E53" i="1"/>
  <c r="E54" i="1" l="1"/>
  <c r="D53" i="1"/>
  <c r="J7" i="3" s="1"/>
  <c r="E55" i="1" l="1"/>
  <c r="D54" i="1"/>
  <c r="K7" i="3" s="1"/>
  <c r="E56" i="1" l="1"/>
  <c r="D55" i="1"/>
  <c r="L7" i="3" s="1"/>
  <c r="E57" i="1" l="1"/>
  <c r="D56" i="1"/>
  <c r="C8" i="3" s="1"/>
  <c r="D57" i="1" l="1"/>
  <c r="D8" i="3" s="1"/>
  <c r="E58" i="1"/>
  <c r="E59" i="1" l="1"/>
  <c r="D58" i="1"/>
  <c r="E8" i="3" s="1"/>
  <c r="D59" i="1" l="1"/>
  <c r="F8" i="3" s="1"/>
  <c r="E60" i="1"/>
  <c r="E61" i="1" l="1"/>
  <c r="D60" i="1"/>
  <c r="G8" i="3" s="1"/>
  <c r="E62" i="1" l="1"/>
  <c r="D61" i="1"/>
  <c r="H8" i="3" s="1"/>
  <c r="E63" i="1" l="1"/>
  <c r="D62" i="1"/>
  <c r="I8" i="3" s="1"/>
  <c r="D63" i="1" l="1"/>
  <c r="J8" i="3" s="1"/>
  <c r="E64" i="1"/>
  <c r="E65" i="1" l="1"/>
  <c r="D64" i="1"/>
  <c r="K8" i="3" s="1"/>
  <c r="E66" i="1" l="1"/>
  <c r="D65" i="1"/>
  <c r="L8" i="3" s="1"/>
  <c r="E67" i="1" l="1"/>
  <c r="D66" i="1"/>
  <c r="C9" i="3" s="1"/>
  <c r="E68" i="1" l="1"/>
  <c r="D67" i="1"/>
  <c r="D9" i="3" s="1"/>
  <c r="E69" i="1" l="1"/>
  <c r="D68" i="1"/>
  <c r="E9" i="3" s="1"/>
  <c r="E70" i="1" l="1"/>
  <c r="D69" i="1"/>
  <c r="F9" i="3" s="1"/>
  <c r="E71" i="1" l="1"/>
  <c r="D70" i="1"/>
  <c r="G9" i="3" s="1"/>
  <c r="E72" i="1" l="1"/>
  <c r="D71" i="1"/>
  <c r="H9" i="3" s="1"/>
  <c r="E73" i="1" l="1"/>
  <c r="D72" i="1"/>
  <c r="I9" i="3" s="1"/>
  <c r="E74" i="1" l="1"/>
  <c r="D73" i="1"/>
  <c r="J9" i="3" s="1"/>
  <c r="E75" i="1" l="1"/>
  <c r="D74" i="1"/>
  <c r="K9" i="3" s="1"/>
  <c r="E76" i="1" l="1"/>
  <c r="D75" i="1"/>
  <c r="L9" i="3" s="1"/>
  <c r="E77" i="1" l="1"/>
  <c r="D76" i="1"/>
  <c r="C10" i="3" s="1"/>
  <c r="E78" i="1" l="1"/>
  <c r="D77" i="1"/>
  <c r="D10" i="3" s="1"/>
  <c r="E79" i="1" l="1"/>
  <c r="D78" i="1"/>
  <c r="E10" i="3" s="1"/>
  <c r="E80" i="1" l="1"/>
  <c r="D79" i="1"/>
  <c r="F10" i="3" s="1"/>
  <c r="D80" i="1" l="1"/>
  <c r="G10" i="3" s="1"/>
  <c r="E81" i="1"/>
  <c r="D81" i="1" l="1"/>
  <c r="H10" i="3" s="1"/>
  <c r="E82" i="1"/>
  <c r="E83" i="1" l="1"/>
  <c r="D82" i="1"/>
  <c r="I10" i="3" s="1"/>
  <c r="E84" i="1" l="1"/>
  <c r="D83" i="1"/>
  <c r="J10" i="3" s="1"/>
  <c r="E85" i="1" l="1"/>
  <c r="D84" i="1"/>
  <c r="K10" i="3" s="1"/>
  <c r="D85" i="1" l="1"/>
  <c r="L10" i="3" s="1"/>
  <c r="E86" i="1"/>
  <c r="E87" i="1" l="1"/>
  <c r="D86" i="1"/>
  <c r="C11" i="3" s="1"/>
  <c r="E88" i="1" l="1"/>
  <c r="D87" i="1"/>
  <c r="D11" i="3" s="1"/>
  <c r="E89" i="1" l="1"/>
  <c r="D88" i="1"/>
  <c r="E11" i="3" s="1"/>
  <c r="E90" i="1" l="1"/>
  <c r="D89" i="1"/>
  <c r="F11" i="3" s="1"/>
  <c r="D90" i="1" l="1"/>
  <c r="G11" i="3" s="1"/>
  <c r="E91" i="1"/>
  <c r="D91" i="1" l="1"/>
  <c r="H11" i="3" s="1"/>
  <c r="E92" i="1"/>
  <c r="D92" i="1" l="1"/>
  <c r="I11" i="3" s="1"/>
  <c r="E93" i="1"/>
  <c r="E94" i="1" l="1"/>
  <c r="D93" i="1"/>
  <c r="J11" i="3" s="1"/>
  <c r="D94" i="1" l="1"/>
  <c r="K11" i="3" s="1"/>
  <c r="E95" i="1"/>
  <c r="D95" i="1" l="1"/>
  <c r="L11" i="3" s="1"/>
  <c r="E96" i="1"/>
  <c r="E97" i="1" l="1"/>
  <c r="D96" i="1"/>
  <c r="C12" i="3" s="1"/>
  <c r="E98" i="1" l="1"/>
  <c r="D97" i="1"/>
  <c r="D12" i="3" s="1"/>
  <c r="E99" i="1" l="1"/>
  <c r="D98" i="1"/>
  <c r="E12" i="3" s="1"/>
  <c r="E100" i="1" l="1"/>
  <c r="D99" i="1"/>
  <c r="F12" i="3" s="1"/>
  <c r="D100" i="1" l="1"/>
  <c r="G12" i="3" s="1"/>
  <c r="E101" i="1"/>
  <c r="E102" i="1" l="1"/>
  <c r="D101" i="1"/>
  <c r="H12" i="3" s="1"/>
  <c r="E103" i="1" l="1"/>
  <c r="D102" i="1"/>
  <c r="I12" i="3" s="1"/>
  <c r="E104" i="1" l="1"/>
  <c r="D103" i="1"/>
  <c r="J12" i="3" s="1"/>
  <c r="E105" i="1" l="1"/>
  <c r="D104" i="1"/>
  <c r="K12" i="3" s="1"/>
  <c r="D105" i="1" l="1"/>
  <c r="L12" i="3" s="1"/>
  <c r="E106" i="1"/>
  <c r="E107" i="1" l="1"/>
  <c r="D106" i="1"/>
  <c r="C13" i="3" s="1"/>
  <c r="E108" i="1" l="1"/>
  <c r="D107" i="1"/>
  <c r="D13" i="3" s="1"/>
  <c r="D108" i="1" l="1"/>
  <c r="E13" i="3" s="1"/>
  <c r="E109" i="1"/>
  <c r="E110" i="1" l="1"/>
  <c r="D109" i="1"/>
  <c r="F13" i="3" s="1"/>
  <c r="E111" i="1" l="1"/>
  <c r="D110" i="1"/>
  <c r="G13" i="3" s="1"/>
  <c r="E112" i="1" l="1"/>
  <c r="D111" i="1"/>
  <c r="H13" i="3" s="1"/>
  <c r="D112" i="1" l="1"/>
  <c r="I13" i="3" s="1"/>
  <c r="E113" i="1"/>
  <c r="E114" i="1" l="1"/>
  <c r="D113" i="1"/>
  <c r="J13" i="3" s="1"/>
  <c r="E115" i="1" l="1"/>
  <c r="D114" i="1"/>
  <c r="K13" i="3" s="1"/>
  <c r="E116" i="1" l="1"/>
  <c r="D115" i="1"/>
  <c r="L13" i="3" s="1"/>
  <c r="E117" i="1" l="1"/>
  <c r="D116" i="1"/>
  <c r="C14" i="3" s="1"/>
  <c r="D117" i="1" l="1"/>
  <c r="D14" i="3" s="1"/>
  <c r="E118" i="1"/>
  <c r="E119" i="1" l="1"/>
  <c r="D118" i="1"/>
  <c r="E14" i="3" s="1"/>
  <c r="E120" i="1" l="1"/>
  <c r="D119" i="1"/>
  <c r="F14" i="3" s="1"/>
  <c r="E121" i="1" l="1"/>
  <c r="D120" i="1"/>
  <c r="G14" i="3" s="1"/>
  <c r="E122" i="1" l="1"/>
  <c r="D121" i="1"/>
  <c r="H14" i="3" s="1"/>
  <c r="E123" i="1" l="1"/>
  <c r="D122" i="1"/>
  <c r="I14" i="3" s="1"/>
  <c r="E124" i="1" l="1"/>
  <c r="D123" i="1"/>
  <c r="J14" i="3" s="1"/>
  <c r="E125" i="1" l="1"/>
  <c r="D124" i="1"/>
  <c r="K14" i="3" s="1"/>
  <c r="E126" i="1" l="1"/>
  <c r="D125" i="1"/>
  <c r="L14" i="3" s="1"/>
  <c r="E127" i="1" l="1"/>
  <c r="D126" i="1"/>
  <c r="C15" i="3" s="1"/>
  <c r="E128" i="1" l="1"/>
  <c r="D127" i="1"/>
  <c r="D15" i="3" s="1"/>
  <c r="E129" i="1" l="1"/>
  <c r="D128" i="1"/>
  <c r="E15" i="3" s="1"/>
  <c r="E130" i="1" l="1"/>
  <c r="D129" i="1"/>
  <c r="F15" i="3" s="1"/>
  <c r="E131" i="1" l="1"/>
  <c r="D130" i="1"/>
  <c r="G15" i="3" s="1"/>
  <c r="E132" i="1" l="1"/>
  <c r="D131" i="1"/>
  <c r="H15" i="3" s="1"/>
  <c r="E133" i="1" l="1"/>
  <c r="D132" i="1"/>
  <c r="I15" i="3" s="1"/>
  <c r="E134" i="1" l="1"/>
  <c r="D133" i="1"/>
  <c r="J15" i="3" s="1"/>
  <c r="E135" i="1" l="1"/>
  <c r="D134" i="1"/>
  <c r="K15" i="3" s="1"/>
  <c r="D135" i="1" l="1"/>
  <c r="L15" i="3" s="1"/>
  <c r="E136" i="1"/>
  <c r="E137" i="1" l="1"/>
  <c r="D136" i="1"/>
  <c r="C16" i="3" s="1"/>
  <c r="E138" i="1" l="1"/>
  <c r="D137" i="1"/>
  <c r="D16" i="3" s="1"/>
  <c r="E139" i="1" l="1"/>
  <c r="D138" i="1"/>
  <c r="E16" i="3" s="1"/>
  <c r="E140" i="1" l="1"/>
  <c r="D139" i="1"/>
  <c r="F16" i="3" s="1"/>
  <c r="E141" i="1" l="1"/>
  <c r="D140" i="1"/>
  <c r="G16" i="3" s="1"/>
  <c r="E142" i="1" l="1"/>
  <c r="D141" i="1"/>
  <c r="H16" i="3" s="1"/>
  <c r="E143" i="1" l="1"/>
  <c r="D142" i="1"/>
  <c r="I16" i="3" s="1"/>
  <c r="E144" i="1" l="1"/>
  <c r="D143" i="1"/>
  <c r="J16" i="3" s="1"/>
  <c r="E145" i="1" l="1"/>
  <c r="D144" i="1"/>
  <c r="K16" i="3" s="1"/>
  <c r="E146" i="1" l="1"/>
  <c r="D145" i="1"/>
  <c r="L16" i="3" s="1"/>
  <c r="E147" i="1" l="1"/>
  <c r="D146" i="1"/>
  <c r="C17" i="3" s="1"/>
  <c r="E148" i="1" l="1"/>
  <c r="D147" i="1"/>
  <c r="D17" i="3" s="1"/>
  <c r="D148" i="1" l="1"/>
  <c r="E17" i="3" s="1"/>
  <c r="E149" i="1"/>
  <c r="E150" i="1" l="1"/>
  <c r="D149" i="1"/>
  <c r="F17" i="3" s="1"/>
  <c r="E151" i="1" l="1"/>
  <c r="D150" i="1"/>
  <c r="G17" i="3" s="1"/>
  <c r="E152" i="1" l="1"/>
  <c r="D151" i="1"/>
  <c r="H17" i="3" s="1"/>
  <c r="E153" i="1" l="1"/>
  <c r="D152" i="1"/>
  <c r="I17" i="3" s="1"/>
  <c r="E154" i="1" l="1"/>
  <c r="D153" i="1"/>
  <c r="J17" i="3" s="1"/>
  <c r="D154" i="1" l="1"/>
  <c r="K17" i="3" s="1"/>
  <c r="E155" i="1"/>
  <c r="D155" i="1" l="1"/>
  <c r="L17" i="3" s="1"/>
  <c r="E156" i="1"/>
  <c r="E157" i="1" l="1"/>
  <c r="D156" i="1"/>
  <c r="C18" i="3" s="1"/>
  <c r="E158" i="1" l="1"/>
  <c r="D157" i="1"/>
  <c r="D18" i="3" s="1"/>
  <c r="E159" i="1" l="1"/>
  <c r="D158" i="1"/>
  <c r="E18" i="3" s="1"/>
  <c r="E160" i="1" l="1"/>
  <c r="D159" i="1"/>
  <c r="F18" i="3" s="1"/>
  <c r="E161" i="1" l="1"/>
  <c r="D160" i="1"/>
  <c r="G18" i="3" s="1"/>
  <c r="E162" i="1" l="1"/>
  <c r="D161" i="1"/>
  <c r="H18" i="3" s="1"/>
  <c r="E163" i="1" l="1"/>
  <c r="D162" i="1"/>
  <c r="I18" i="3" s="1"/>
  <c r="E164" i="1" l="1"/>
  <c r="D163" i="1"/>
  <c r="J18" i="3" s="1"/>
  <c r="E165" i="1" l="1"/>
  <c r="D164" i="1"/>
  <c r="K18" i="3" s="1"/>
  <c r="E166" i="1" l="1"/>
  <c r="D165" i="1"/>
  <c r="L18" i="3" s="1"/>
  <c r="E167" i="1" l="1"/>
  <c r="D166" i="1"/>
  <c r="C19" i="3" s="1"/>
  <c r="E168" i="1" l="1"/>
  <c r="D167" i="1"/>
  <c r="D19" i="3" s="1"/>
  <c r="E169" i="1" l="1"/>
  <c r="D168" i="1"/>
  <c r="E19" i="3" s="1"/>
  <c r="E170" i="1" l="1"/>
  <c r="D169" i="1"/>
  <c r="F19" i="3" s="1"/>
  <c r="E171" i="1" l="1"/>
  <c r="D170" i="1"/>
  <c r="G19" i="3" s="1"/>
  <c r="E172" i="1" l="1"/>
  <c r="D171" i="1"/>
  <c r="H19" i="3" s="1"/>
  <c r="E173" i="1" l="1"/>
  <c r="D172" i="1"/>
  <c r="I19" i="3" s="1"/>
  <c r="E174" i="1" l="1"/>
  <c r="D173" i="1"/>
  <c r="J19" i="3" s="1"/>
  <c r="E175" i="1" l="1"/>
  <c r="D174" i="1"/>
  <c r="K19" i="3" s="1"/>
  <c r="E176" i="1" l="1"/>
  <c r="D175" i="1"/>
  <c r="L19" i="3" s="1"/>
  <c r="D176" i="1" l="1"/>
  <c r="C20" i="3" s="1"/>
  <c r="E177" i="1"/>
  <c r="E178" i="1" l="1"/>
  <c r="D177" i="1"/>
  <c r="D20" i="3" s="1"/>
  <c r="E179" i="1" l="1"/>
  <c r="D178" i="1"/>
  <c r="E20" i="3" s="1"/>
  <c r="E180" i="1" l="1"/>
  <c r="D179" i="1"/>
  <c r="F20" i="3" s="1"/>
  <c r="E181" i="1" l="1"/>
  <c r="D180" i="1"/>
  <c r="G20" i="3" s="1"/>
  <c r="E182" i="1" l="1"/>
  <c r="D181" i="1"/>
  <c r="H20" i="3" s="1"/>
  <c r="E183" i="1" l="1"/>
  <c r="D182" i="1"/>
  <c r="I20" i="3" s="1"/>
  <c r="E184" i="1" l="1"/>
  <c r="D183" i="1"/>
  <c r="J20" i="3" s="1"/>
  <c r="E185" i="1" l="1"/>
  <c r="D184" i="1"/>
  <c r="K20" i="3" s="1"/>
  <c r="E186" i="1" l="1"/>
  <c r="D185" i="1"/>
  <c r="L20" i="3" s="1"/>
  <c r="E187" i="1" l="1"/>
  <c r="D186" i="1"/>
  <c r="C21" i="3" s="1"/>
  <c r="E188" i="1" l="1"/>
  <c r="D187" i="1"/>
  <c r="D21" i="3" s="1"/>
  <c r="E189" i="1" l="1"/>
  <c r="D188" i="1"/>
  <c r="E21" i="3" s="1"/>
  <c r="E190" i="1" l="1"/>
  <c r="D189" i="1"/>
  <c r="F21" i="3" s="1"/>
  <c r="E191" i="1" l="1"/>
  <c r="D190" i="1"/>
  <c r="G21" i="3" s="1"/>
  <c r="E192" i="1" l="1"/>
  <c r="D191" i="1"/>
  <c r="H21" i="3" s="1"/>
  <c r="E193" i="1" l="1"/>
  <c r="D192" i="1"/>
  <c r="I21" i="3" s="1"/>
  <c r="E194" i="1" l="1"/>
  <c r="D193" i="1"/>
  <c r="J21" i="3" s="1"/>
  <c r="E195" i="1" l="1"/>
  <c r="D194" i="1"/>
  <c r="K21" i="3" s="1"/>
  <c r="E196" i="1" l="1"/>
  <c r="D195" i="1"/>
  <c r="L21" i="3" s="1"/>
  <c r="D196" i="1" l="1"/>
  <c r="C22" i="3" s="1"/>
  <c r="E197" i="1"/>
  <c r="E198" i="1" l="1"/>
  <c r="D197" i="1"/>
  <c r="D22" i="3" s="1"/>
  <c r="E199" i="1" l="1"/>
  <c r="D198" i="1"/>
  <c r="E22" i="3" s="1"/>
  <c r="E200" i="1" l="1"/>
  <c r="D199" i="1"/>
  <c r="F22" i="3" s="1"/>
  <c r="D200" i="1" l="1"/>
  <c r="G22" i="3" s="1"/>
  <c r="E201" i="1"/>
  <c r="E202" i="1" l="1"/>
  <c r="D201" i="1"/>
  <c r="H22" i="3" s="1"/>
  <c r="E203" i="1" l="1"/>
  <c r="D202" i="1"/>
  <c r="I22" i="3" s="1"/>
  <c r="E204" i="1" l="1"/>
  <c r="D203" i="1"/>
  <c r="J22" i="3" s="1"/>
  <c r="E205" i="1" l="1"/>
  <c r="D204" i="1"/>
  <c r="K22" i="3" s="1"/>
  <c r="D205" i="1" l="1"/>
  <c r="L22" i="3" s="1"/>
  <c r="E206" i="1"/>
  <c r="E207" i="1" l="1"/>
  <c r="D206" i="1"/>
  <c r="C23" i="3" s="1"/>
  <c r="E208" i="1" l="1"/>
  <c r="D207" i="1"/>
  <c r="D23" i="3" s="1"/>
  <c r="E209" i="1" l="1"/>
  <c r="D208" i="1"/>
  <c r="E23" i="3" s="1"/>
  <c r="E210" i="1" l="1"/>
  <c r="D209" i="1"/>
  <c r="F23" i="3" s="1"/>
  <c r="E211" i="1" l="1"/>
  <c r="D210" i="1"/>
  <c r="G23" i="3" s="1"/>
  <c r="E212" i="1" l="1"/>
  <c r="D211" i="1"/>
  <c r="H23" i="3" s="1"/>
  <c r="E213" i="1" l="1"/>
  <c r="D212" i="1"/>
  <c r="I23" i="3" s="1"/>
  <c r="E214" i="1" l="1"/>
  <c r="D213" i="1"/>
  <c r="J23" i="3" s="1"/>
  <c r="D214" i="1" l="1"/>
  <c r="K23" i="3" s="1"/>
  <c r="E215" i="1"/>
  <c r="E216" i="1" l="1"/>
  <c r="D215" i="1"/>
  <c r="L23" i="3" s="1"/>
  <c r="E217" i="1" l="1"/>
  <c r="D216" i="1"/>
  <c r="C24" i="3" s="1"/>
  <c r="E218" i="1" l="1"/>
  <c r="D217" i="1"/>
  <c r="D24" i="3" s="1"/>
  <c r="E219" i="1" l="1"/>
  <c r="D218" i="1"/>
  <c r="E24" i="3" s="1"/>
  <c r="D219" i="1" l="1"/>
  <c r="F24" i="3" s="1"/>
  <c r="E220" i="1"/>
  <c r="E221" i="1" l="1"/>
  <c r="D220" i="1"/>
  <c r="G24" i="3" s="1"/>
  <c r="E222" i="1" l="1"/>
  <c r="D221" i="1"/>
  <c r="H24" i="3" s="1"/>
  <c r="E223" i="1" l="1"/>
  <c r="D222" i="1"/>
  <c r="I24" i="3" s="1"/>
  <c r="E224" i="1" l="1"/>
  <c r="D223" i="1"/>
  <c r="J24" i="3" s="1"/>
  <c r="E225" i="1" l="1"/>
  <c r="D224" i="1"/>
  <c r="K24" i="3" s="1"/>
  <c r="D225" i="1" l="1"/>
  <c r="L24" i="3" s="1"/>
  <c r="E226" i="1"/>
  <c r="E227" i="1" l="1"/>
  <c r="D226" i="1"/>
  <c r="C25" i="3" s="1"/>
  <c r="D227" i="1" l="1"/>
  <c r="D25" i="3" s="1"/>
  <c r="E228" i="1"/>
  <c r="E229" i="1" l="1"/>
  <c r="D228" i="1"/>
  <c r="E25" i="3" s="1"/>
  <c r="E230" i="1" l="1"/>
  <c r="D229" i="1"/>
  <c r="F25" i="3" s="1"/>
  <c r="E231" i="1" l="1"/>
  <c r="D230" i="1"/>
  <c r="G25" i="3" s="1"/>
  <c r="E232" i="1" l="1"/>
  <c r="D231" i="1"/>
  <c r="H25" i="3" s="1"/>
  <c r="E233" i="1" l="1"/>
  <c r="D232" i="1"/>
  <c r="I25" i="3" s="1"/>
  <c r="E234" i="1" l="1"/>
  <c r="D233" i="1"/>
  <c r="J25" i="3" s="1"/>
  <c r="E235" i="1" l="1"/>
  <c r="D234" i="1"/>
  <c r="K25" i="3" s="1"/>
  <c r="D235" i="1" l="1"/>
  <c r="L25" i="3" s="1"/>
  <c r="E236" i="1"/>
  <c r="E237" i="1" l="1"/>
  <c r="D236" i="1"/>
  <c r="C26" i="3" s="1"/>
  <c r="E238" i="1" l="1"/>
  <c r="D237" i="1"/>
  <c r="D26" i="3" s="1"/>
  <c r="E239" i="1" l="1"/>
  <c r="D238" i="1"/>
  <c r="E26" i="3" s="1"/>
  <c r="E240" i="1" l="1"/>
  <c r="D239" i="1"/>
  <c r="F26" i="3" s="1"/>
  <c r="E241" i="1" l="1"/>
  <c r="D240" i="1"/>
  <c r="G26" i="3" s="1"/>
  <c r="D241" i="1" l="1"/>
  <c r="H26" i="3" s="1"/>
  <c r="E242" i="1"/>
  <c r="E243" i="1" l="1"/>
  <c r="D242" i="1"/>
  <c r="I26" i="3" s="1"/>
  <c r="E244" i="1" l="1"/>
  <c r="D243" i="1"/>
  <c r="J26" i="3" s="1"/>
  <c r="E245" i="1" l="1"/>
  <c r="D244" i="1"/>
  <c r="K26" i="3" s="1"/>
  <c r="E246" i="1" l="1"/>
  <c r="D245" i="1"/>
  <c r="L26" i="3" s="1"/>
  <c r="E247" i="1" l="1"/>
  <c r="D246" i="1"/>
  <c r="C27" i="3" s="1"/>
  <c r="E248" i="1" l="1"/>
  <c r="D247" i="1"/>
  <c r="D27" i="3" s="1"/>
  <c r="E249" i="1" l="1"/>
  <c r="D248" i="1"/>
  <c r="E27" i="3" s="1"/>
  <c r="E250" i="1" l="1"/>
  <c r="D249" i="1"/>
  <c r="F27" i="3" s="1"/>
  <c r="E251" i="1" l="1"/>
  <c r="D250" i="1"/>
  <c r="G27" i="3" s="1"/>
  <c r="E252" i="1" l="1"/>
  <c r="D251" i="1"/>
  <c r="H27" i="3" s="1"/>
  <c r="E253" i="1" l="1"/>
  <c r="D252" i="1"/>
  <c r="I27" i="3" s="1"/>
  <c r="E254" i="1" l="1"/>
  <c r="D253" i="1"/>
  <c r="J27" i="3" s="1"/>
  <c r="E255" i="1" l="1"/>
  <c r="D254" i="1"/>
  <c r="K27" i="3" s="1"/>
  <c r="D255" i="1" l="1"/>
  <c r="L27" i="3" s="1"/>
  <c r="E256" i="1"/>
  <c r="E257" i="1" l="1"/>
  <c r="D256" i="1"/>
  <c r="C28" i="3" s="1"/>
  <c r="E258" i="1" l="1"/>
  <c r="D257" i="1"/>
  <c r="D28" i="3" s="1"/>
  <c r="E259" i="1" l="1"/>
  <c r="D258" i="1"/>
  <c r="E28" i="3" s="1"/>
  <c r="D259" i="1" l="1"/>
  <c r="F28" i="3" s="1"/>
  <c r="E260" i="1"/>
  <c r="E261" i="1" l="1"/>
  <c r="D261" i="1" s="1"/>
  <c r="H28" i="3" s="1"/>
  <c r="D260" i="1"/>
  <c r="G28" i="3" s="1"/>
</calcChain>
</file>

<file path=xl/sharedStrings.xml><?xml version="1.0" encoding="utf-8"?>
<sst xmlns="http://schemas.openxmlformats.org/spreadsheetml/2006/main" count="2" uniqueCount="2">
  <si>
    <t>r</t>
  </si>
  <si>
    <t>I0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</si>
</sst>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000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1" fontId="0" fillId="3" borderId="0" xfId="0" applyNumberFormat="1" applyFill="1"/>
    <xf numFmtId="0" fontId="0" fillId="3" borderId="0" xfId="0" applyFill="1"/>
    <xf numFmtId="1" fontId="0" fillId="2" borderId="0" xfId="0" applyNumberFormat="1" applyFill="1"/>
    <xf numFmtId="168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C50F-6164-4985-9913-F3EE1A875607}">
  <sheetPr codeName="Tabelle1"/>
  <dimension ref="B3:S261"/>
  <sheetViews>
    <sheetView tabSelected="1" zoomScale="85" zoomScaleNormal="85" workbookViewId="0">
      <selection activeCell="H6" sqref="H6"/>
    </sheetView>
  </sheetViews>
  <sheetFormatPr baseColWidth="10" defaultRowHeight="15" x14ac:dyDescent="0.25"/>
  <sheetData>
    <row r="3" spans="2:19" x14ac:dyDescent="0.25">
      <c r="C3" s="1" t="s">
        <v>1</v>
      </c>
      <c r="E3" s="1" t="s">
        <v>0</v>
      </c>
    </row>
    <row r="4" spans="2:19" x14ac:dyDescent="0.25">
      <c r="C4">
        <f>1/255</f>
        <v>3.9215686274509803E-3</v>
      </c>
      <c r="E4">
        <f>(1/C4)^(1/255)</f>
        <v>1.0219682709630185</v>
      </c>
      <c r="G4">
        <f>1/100</f>
        <v>0.01</v>
      </c>
      <c r="I4">
        <f>(1/G4)^(1/100)</f>
        <v>1.0471285480508996</v>
      </c>
    </row>
    <row r="6" spans="2:19" x14ac:dyDescent="0.25">
      <c r="B6">
        <v>0</v>
      </c>
      <c r="D6" s="2">
        <f t="shared" ref="D6:D69" si="0">E6*255</f>
        <v>1</v>
      </c>
      <c r="E6">
        <f>C4</f>
        <v>3.9215686274509803E-3</v>
      </c>
      <c r="H6" s="2">
        <f>I6*100</f>
        <v>1</v>
      </c>
      <c r="I6" s="6">
        <f>G4</f>
        <v>0.01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5">
      <c r="B7">
        <v>1</v>
      </c>
      <c r="D7" s="2">
        <f t="shared" si="0"/>
        <v>1.0219682709630185</v>
      </c>
      <c r="E7">
        <f>E6*$E$4</f>
        <v>4.0077187096588963E-3</v>
      </c>
      <c r="H7" s="2">
        <f t="shared" ref="H7:H70" si="1">I7*100</f>
        <v>1.0471285480508996</v>
      </c>
      <c r="I7" s="6">
        <f>I6*$I$4</f>
        <v>1.0471285480508996E-2</v>
      </c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5">
      <c r="B8">
        <v>2</v>
      </c>
      <c r="D8" s="2">
        <f t="shared" si="0"/>
        <v>1.0444191468551416</v>
      </c>
      <c r="E8">
        <f t="shared" ref="E8:E71" si="2">E7*$E$4</f>
        <v>4.0957613602162412E-3</v>
      </c>
      <c r="H8" s="2">
        <f t="shared" si="1"/>
        <v>1.0964781961431851</v>
      </c>
      <c r="I8" s="6">
        <f t="shared" ref="I8:I71" si="3">I7*$I$4</f>
        <v>1.0964781961431851E-2</v>
      </c>
      <c r="J8" s="2"/>
      <c r="K8" s="2"/>
      <c r="L8" s="2"/>
      <c r="M8" s="2"/>
      <c r="N8" s="2"/>
      <c r="O8" s="2"/>
      <c r="P8" s="2"/>
      <c r="Q8" s="2"/>
      <c r="R8" s="2"/>
    </row>
    <row r="9" spans="2:19" x14ac:dyDescent="0.25">
      <c r="B9">
        <v>3</v>
      </c>
      <c r="D9" s="2">
        <f t="shared" si="0"/>
        <v>1.0673632296722197</v>
      </c>
      <c r="E9">
        <f t="shared" si="2"/>
        <v>4.1857381555773327E-3</v>
      </c>
      <c r="H9" s="2">
        <f t="shared" si="1"/>
        <v>1.148153621496883</v>
      </c>
      <c r="I9" s="6">
        <f t="shared" si="3"/>
        <v>1.148153621496883E-2</v>
      </c>
      <c r="J9" s="2"/>
      <c r="K9" s="2"/>
      <c r="L9" s="2"/>
      <c r="M9" s="2"/>
      <c r="N9" s="2"/>
      <c r="O9" s="2"/>
      <c r="P9" s="2"/>
      <c r="Q9" s="2"/>
      <c r="R9" s="2"/>
    </row>
    <row r="10" spans="2:19" x14ac:dyDescent="0.25">
      <c r="B10">
        <v>4</v>
      </c>
      <c r="D10" s="2">
        <f t="shared" si="0"/>
        <v>1.0908113543176217</v>
      </c>
      <c r="E10">
        <f t="shared" si="2"/>
        <v>4.2776915855593008E-3</v>
      </c>
      <c r="H10" s="2">
        <f t="shared" si="1"/>
        <v>1.2022644346174132</v>
      </c>
      <c r="I10" s="6">
        <f t="shared" si="3"/>
        <v>1.2022644346174132E-2</v>
      </c>
      <c r="J10" s="2"/>
      <c r="K10" s="2"/>
      <c r="L10" s="2"/>
      <c r="M10" s="2"/>
      <c r="N10" s="2"/>
      <c r="O10" s="2"/>
      <c r="P10" s="2"/>
      <c r="Q10" s="2"/>
      <c r="R10" s="2"/>
    </row>
    <row r="11" spans="2:19" x14ac:dyDescent="0.25">
      <c r="B11">
        <v>5</v>
      </c>
      <c r="D11" s="2">
        <f t="shared" si="0"/>
        <v>1.1147745937188083</v>
      </c>
      <c r="E11">
        <f t="shared" si="2"/>
        <v>4.3716650734070914E-3</v>
      </c>
      <c r="H11" s="2">
        <f t="shared" si="1"/>
        <v>1.2589254117941677</v>
      </c>
      <c r="I11" s="6">
        <f t="shared" si="3"/>
        <v>1.2589254117941677E-2</v>
      </c>
      <c r="J11" s="2"/>
      <c r="K11" s="2"/>
      <c r="L11" s="2"/>
      <c r="M11" s="2"/>
      <c r="N11" s="2"/>
      <c r="O11" s="2"/>
      <c r="P11" s="2"/>
      <c r="Q11" s="2"/>
      <c r="R11" s="2"/>
    </row>
    <row r="12" spans="2:19" x14ac:dyDescent="0.25">
      <c r="B12">
        <v>6</v>
      </c>
      <c r="D12" s="2">
        <f t="shared" si="0"/>
        <v>1.139264264056312</v>
      </c>
      <c r="E12">
        <f t="shared" si="2"/>
        <v>4.4677029962992623E-3</v>
      </c>
      <c r="H12" s="2">
        <f t="shared" si="1"/>
        <v>1.3182567385564077</v>
      </c>
      <c r="I12" s="6">
        <f t="shared" si="3"/>
        <v>1.3182567385564076E-2</v>
      </c>
      <c r="J12" s="2"/>
      <c r="K12" s="2"/>
      <c r="L12" s="2"/>
      <c r="M12" s="2"/>
      <c r="N12" s="2"/>
      <c r="O12" s="2"/>
      <c r="P12" s="2"/>
      <c r="Q12" s="2"/>
      <c r="R12" s="2"/>
    </row>
    <row r="13" spans="2:19" x14ac:dyDescent="0.25">
      <c r="B13">
        <v>7</v>
      </c>
      <c r="D13" s="2">
        <f t="shared" si="0"/>
        <v>1.1642919301075847</v>
      </c>
      <c r="E13">
        <f t="shared" si="2"/>
        <v>4.5658507063042536E-3</v>
      </c>
      <c r="H13" s="2">
        <f t="shared" si="1"/>
        <v>1.3803842646028857</v>
      </c>
      <c r="I13" s="6">
        <f t="shared" si="3"/>
        <v>1.3803842646028856E-2</v>
      </c>
      <c r="J13" s="2"/>
      <c r="K13" s="2"/>
      <c r="L13" s="2"/>
      <c r="M13" s="2"/>
      <c r="N13" s="2"/>
      <c r="O13" s="2"/>
      <c r="P13" s="2"/>
      <c r="Q13" s="2"/>
      <c r="R13" s="2"/>
    </row>
    <row r="14" spans="2:19" x14ac:dyDescent="0.25">
      <c r="B14">
        <v>8</v>
      </c>
      <c r="D14" s="2">
        <f t="shared" si="0"/>
        <v>1.1898694107082439</v>
      </c>
      <c r="E14">
        <f t="shared" si="2"/>
        <v>4.6661545517970348E-3</v>
      </c>
      <c r="H14" s="2">
        <f t="shared" si="1"/>
        <v>1.4454397707459283</v>
      </c>
      <c r="I14" s="6">
        <f t="shared" si="3"/>
        <v>1.4454397707459283E-2</v>
      </c>
      <c r="J14" s="2"/>
      <c r="K14" s="2"/>
      <c r="L14" s="2"/>
      <c r="M14" s="2"/>
      <c r="N14" s="2"/>
      <c r="O14" s="2"/>
      <c r="P14" s="2"/>
      <c r="Q14" s="2"/>
      <c r="R14" s="2"/>
    </row>
    <row r="15" spans="2:19" x14ac:dyDescent="0.25">
      <c r="B15">
        <v>9</v>
      </c>
      <c r="D15" s="2">
        <f t="shared" si="0"/>
        <v>1.2160087843332896</v>
      </c>
      <c r="E15">
        <f t="shared" si="2"/>
        <v>4.7686618993462342E-3</v>
      </c>
      <c r="H15" s="2">
        <f t="shared" si="1"/>
        <v>1.5135612484362091</v>
      </c>
      <c r="I15" s="6">
        <f t="shared" si="3"/>
        <v>1.513561248436209E-2</v>
      </c>
      <c r="J15" s="2"/>
      <c r="K15" s="2"/>
      <c r="L15" s="2"/>
      <c r="M15" s="2"/>
      <c r="N15" s="2"/>
      <c r="O15" s="2"/>
      <c r="P15" s="2"/>
      <c r="Q15" s="2"/>
      <c r="R15" s="2"/>
    </row>
    <row r="16" spans="2:19" x14ac:dyDescent="0.25">
      <c r="B16">
        <v>10</v>
      </c>
      <c r="D16" s="2">
        <f t="shared" si="0"/>
        <v>1.242722394800934</v>
      </c>
      <c r="E16">
        <f t="shared" si="2"/>
        <v>4.8734211560820945E-3</v>
      </c>
      <c r="H16" s="2">
        <f t="shared" si="1"/>
        <v>1.5848931924611145</v>
      </c>
      <c r="I16" s="6">
        <f t="shared" si="3"/>
        <v>1.5848931924611145E-2</v>
      </c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>
        <v>11</v>
      </c>
      <c r="D17" s="2">
        <f t="shared" si="0"/>
        <v>1.2700228571017322</v>
      </c>
      <c r="E17">
        <f t="shared" si="2"/>
        <v>4.9804817925558128E-3</v>
      </c>
      <c r="H17" s="2">
        <f t="shared" si="1"/>
        <v>1.659586907437562</v>
      </c>
      <c r="I17" s="6">
        <f t="shared" si="3"/>
        <v>1.6595869074375619E-2</v>
      </c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>
        <v>12</v>
      </c>
      <c r="D18" s="2">
        <f t="shared" si="0"/>
        <v>1.2979230633557699</v>
      </c>
      <c r="E18">
        <f t="shared" si="2"/>
        <v>5.0898943661010585E-3</v>
      </c>
      <c r="H18" s="2">
        <f t="shared" si="1"/>
        <v>1.7378008287493769</v>
      </c>
      <c r="I18" s="6">
        <f t="shared" si="3"/>
        <v>1.7378008287493769E-2</v>
      </c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>
        <v>13</v>
      </c>
      <c r="D19" s="2">
        <f t="shared" si="0"/>
        <v>1.3264361889007206</v>
      </c>
      <c r="E19">
        <f t="shared" si="2"/>
        <v>5.2017105447087078E-3</v>
      </c>
      <c r="H19" s="2">
        <f t="shared" si="1"/>
        <v>1.819700858609985</v>
      </c>
      <c r="I19" s="6">
        <f t="shared" si="3"/>
        <v>1.819700858609985E-2</v>
      </c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>
        <v>14</v>
      </c>
      <c r="D20" s="2">
        <f t="shared" si="0"/>
        <v>1.3555756985136451</v>
      </c>
      <c r="E20">
        <f t="shared" si="2"/>
        <v>5.3159831314260591E-3</v>
      </c>
      <c r="H20" s="2">
        <f t="shared" si="1"/>
        <v>1.905460717963249</v>
      </c>
      <c r="I20" s="6">
        <f t="shared" si="3"/>
        <v>1.9054607179632491E-2</v>
      </c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>
        <v>15</v>
      </c>
      <c r="D21" s="2">
        <f t="shared" si="0"/>
        <v>1.3853553527694757</v>
      </c>
      <c r="E21">
        <f t="shared" si="2"/>
        <v>5.4327660892920619E-3</v>
      </c>
      <c r="H21" s="2">
        <f t="shared" si="1"/>
        <v>1.9952623149688815</v>
      </c>
      <c r="I21" s="6">
        <f t="shared" si="3"/>
        <v>1.9952623149688816E-2</v>
      </c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>
        <v>16</v>
      </c>
      <c r="D22" s="2">
        <f t="shared" si="0"/>
        <v>1.4157892145391837</v>
      </c>
      <c r="E22">
        <f t="shared" si="2"/>
        <v>5.552114566820328E-3</v>
      </c>
      <c r="H22" s="2">
        <f t="shared" si="1"/>
        <v>2.0892961308540419</v>
      </c>
      <c r="I22" s="6">
        <f t="shared" si="3"/>
        <v>2.0892961308540417E-2</v>
      </c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>
        <v>17</v>
      </c>
      <c r="D23" s="2">
        <f t="shared" si="0"/>
        <v>1.4468916556306994</v>
      </c>
      <c r="E23">
        <f t="shared" si="2"/>
        <v>5.6740849240419586E-3</v>
      </c>
      <c r="H23" s="2">
        <f t="shared" si="1"/>
        <v>2.1877616239495552</v>
      </c>
      <c r="I23" s="6">
        <f t="shared" si="3"/>
        <v>2.1877616239495551E-2</v>
      </c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>
        <v>18</v>
      </c>
      <c r="D24" s="2">
        <f t="shared" si="0"/>
        <v>1.4786773635757251</v>
      </c>
      <c r="E24">
        <f t="shared" si="2"/>
        <v>5.7987347591204903E-3</v>
      </c>
      <c r="H24" s="2">
        <f t="shared" si="1"/>
        <v>2.2908676527677758</v>
      </c>
      <c r="I24" s="6">
        <f t="shared" si="3"/>
        <v>2.2908676527677758E-2</v>
      </c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>
        <v>19</v>
      </c>
      <c r="D25" s="2">
        <f t="shared" si="0"/>
        <v>1.5111613485656381</v>
      </c>
      <c r="E25">
        <f t="shared" si="2"/>
        <v>5.9261229355515223E-3</v>
      </c>
      <c r="H25" s="2">
        <f t="shared" si="1"/>
        <v>2.3988329190194935</v>
      </c>
      <c r="I25" s="6">
        <f t="shared" si="3"/>
        <v>2.3988329190194935E-2</v>
      </c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>
        <v>20</v>
      </c>
      <c r="D26" s="2">
        <f t="shared" si="0"/>
        <v>1.5443589505397683</v>
      </c>
      <c r="E26">
        <f t="shared" si="2"/>
        <v>6.0563096099598762E-3</v>
      </c>
      <c r="H26" s="2">
        <f t="shared" si="1"/>
        <v>2.5118864315095837</v>
      </c>
      <c r="I26" s="6">
        <f t="shared" si="3"/>
        <v>2.5118864315095836E-2</v>
      </c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>
        <v>21</v>
      </c>
      <c r="D27" s="2">
        <f t="shared" si="0"/>
        <v>1.578285846429389</v>
      </c>
      <c r="E27">
        <f t="shared" si="2"/>
        <v>6.1893562605074073E-3</v>
      </c>
      <c r="H27" s="2">
        <f t="shared" si="1"/>
        <v>2.6302679918953857</v>
      </c>
      <c r="I27" s="6">
        <f t="shared" si="3"/>
        <v>2.6302679918953856E-2</v>
      </c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>
        <v>22</v>
      </c>
      <c r="D28" s="2">
        <f t="shared" si="0"/>
        <v>1.6129580575608466</v>
      </c>
      <c r="E28">
        <f t="shared" si="2"/>
        <v>6.3253257159248885E-3</v>
      </c>
      <c r="H28" s="2">
        <f t="shared" si="1"/>
        <v>2.7542287033381707</v>
      </c>
      <c r="I28" s="6">
        <f t="shared" si="3"/>
        <v>2.7542287033381706E-2</v>
      </c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>
        <v>23</v>
      </c>
      <c r="D29" s="2">
        <f t="shared" si="0"/>
        <v>1.6483919572213273</v>
      </c>
      <c r="E29">
        <f t="shared" si="2"/>
        <v>6.4642821851816756E-3</v>
      </c>
      <c r="H29" s="2">
        <f t="shared" si="1"/>
        <v>2.8840315031266108</v>
      </c>
      <c r="I29" s="6">
        <f t="shared" si="3"/>
        <v>2.8840315031266106E-2</v>
      </c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>
        <v>24</v>
      </c>
      <c r="D30" s="2">
        <f t="shared" si="0"/>
        <v>1.6846042783908257</v>
      </c>
      <c r="E30">
        <f t="shared" si="2"/>
        <v>6.6062912878071594E-3</v>
      </c>
      <c r="H30" s="2">
        <f>I30*100</f>
        <v>3.0199517204020214</v>
      </c>
      <c r="I30" s="6">
        <f t="shared" si="3"/>
        <v>3.0199517204020213E-2</v>
      </c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>
        <v>25</v>
      </c>
      <c r="D31" s="2">
        <f t="shared" si="0"/>
        <v>1.7216121216439755</v>
      </c>
      <c r="E31">
        <f t="shared" si="2"/>
        <v>6.7514200848783354E-3</v>
      </c>
      <c r="H31" s="2">
        <f t="shared" si="1"/>
        <v>3.1622776601683849</v>
      </c>
      <c r="I31" s="6">
        <f t="shared" si="3"/>
        <v>3.1622776601683847E-2</v>
      </c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>
        <v>26</v>
      </c>
      <c r="D32" s="2">
        <f t="shared" si="0"/>
        <v>1.7594329632254675</v>
      </c>
      <c r="E32">
        <f t="shared" si="2"/>
        <v>6.8997371106881075E-3</v>
      </c>
      <c r="H32" s="2">
        <f t="shared" si="1"/>
        <v>3.3113112148259169</v>
      </c>
      <c r="I32" s="6">
        <f t="shared" si="3"/>
        <v>3.3113112148259169E-2</v>
      </c>
    </row>
    <row r="33" spans="2:9" x14ac:dyDescent="0.25">
      <c r="B33">
        <v>27</v>
      </c>
      <c r="D33" s="2">
        <f t="shared" si="0"/>
        <v>1.7980846633028711</v>
      </c>
      <c r="E33">
        <f t="shared" si="2"/>
        <v>7.0513124051092982E-3</v>
      </c>
      <c r="H33" s="2">
        <f t="shared" si="1"/>
        <v>3.4673685045253229</v>
      </c>
      <c r="I33" s="6">
        <f t="shared" si="3"/>
        <v>3.4673685045253227E-2</v>
      </c>
    </row>
    <row r="34" spans="2:9" x14ac:dyDescent="0.25">
      <c r="B34">
        <v>28</v>
      </c>
      <c r="D34" s="2">
        <f t="shared" si="0"/>
        <v>1.8375854744007563</v>
      </c>
      <c r="E34">
        <f t="shared" si="2"/>
        <v>7.2062175466696323E-3</v>
      </c>
      <c r="H34" s="2">
        <f t="shared" si="1"/>
        <v>3.6307805477010202</v>
      </c>
      <c r="I34" s="6">
        <f t="shared" si="3"/>
        <v>3.6307805477010201E-2</v>
      </c>
    </row>
    <row r="35" spans="2:9" x14ac:dyDescent="0.25">
      <c r="B35">
        <v>29</v>
      </c>
      <c r="D35" s="2">
        <f t="shared" si="0"/>
        <v>1.8779540500200989</v>
      </c>
      <c r="E35">
        <f t="shared" si="2"/>
        <v>7.3645256863533286E-3</v>
      </c>
      <c r="H35" s="2">
        <f t="shared" si="1"/>
        <v>3.8018939632056195</v>
      </c>
      <c r="I35" s="6">
        <f t="shared" si="3"/>
        <v>3.8018939632056194E-2</v>
      </c>
    </row>
    <row r="36" spans="2:9" x14ac:dyDescent="0.25">
      <c r="B36">
        <v>30</v>
      </c>
      <c r="D36" s="2">
        <f t="shared" si="0"/>
        <v>1.9192094534470381</v>
      </c>
      <c r="E36">
        <f t="shared" si="2"/>
        <v>7.5263115821452477E-3</v>
      </c>
      <c r="H36" s="2">
        <f t="shared" si="1"/>
        <v>3.9810717055349802</v>
      </c>
      <c r="I36" s="6">
        <f t="shared" si="3"/>
        <v>3.9810717055349804E-2</v>
      </c>
    </row>
    <row r="37" spans="2:9" x14ac:dyDescent="0.25">
      <c r="B37">
        <v>31</v>
      </c>
      <c r="D37" s="2">
        <f t="shared" si="0"/>
        <v>1.9613711667551492</v>
      </c>
      <c r="E37">
        <f t="shared" si="2"/>
        <v>7.6916516343339186E-3</v>
      </c>
      <c r="H37" s="2">
        <f t="shared" si="1"/>
        <v>4.1686938347033626</v>
      </c>
      <c r="I37" s="6">
        <f t="shared" si="3"/>
        <v>4.1686938347033624E-2</v>
      </c>
    </row>
    <row r="38" spans="2:9" x14ac:dyDescent="0.25">
      <c r="B38">
        <v>32</v>
      </c>
      <c r="D38" s="2">
        <f t="shared" si="0"/>
        <v>2.0044591000054783</v>
      </c>
      <c r="E38">
        <f t="shared" si="2"/>
        <v>7.8606239215901104E-3</v>
      </c>
      <c r="H38" s="2">
        <f t="shared" si="1"/>
        <v>4.365158322401669</v>
      </c>
      <c r="I38" s="6">
        <f t="shared" si="3"/>
        <v>4.3651583224016688E-2</v>
      </c>
    </row>
    <row r="39" spans="2:9" x14ac:dyDescent="0.25">
      <c r="B39">
        <v>33</v>
      </c>
      <c r="D39" s="2">
        <f t="shared" si="0"/>
        <v>2.0484936006486865</v>
      </c>
      <c r="E39">
        <f t="shared" si="2"/>
        <v>8.0333082378379866E-3</v>
      </c>
      <c r="H39" s="2">
        <f t="shared" si="1"/>
        <v>4.5708818961487605</v>
      </c>
      <c r="I39" s="6">
        <f t="shared" si="3"/>
        <v>4.5708818961487603E-2</v>
      </c>
    </row>
    <row r="40" spans="2:9" x14ac:dyDescent="0.25">
      <c r="B40">
        <v>34</v>
      </c>
      <c r="D40" s="2">
        <f t="shared" si="0"/>
        <v>2.0934954631337463</v>
      </c>
      <c r="E40">
        <f t="shared" si="2"/>
        <v>8.2097861299362598E-3</v>
      </c>
      <c r="H40" s="2">
        <f t="shared" si="1"/>
        <v>4.7863009232263938</v>
      </c>
      <c r="I40" s="6">
        <f t="shared" si="3"/>
        <v>4.7863009232263942E-2</v>
      </c>
    </row>
    <row r="41" spans="2:9" x14ac:dyDescent="0.25">
      <c r="B41">
        <v>35</v>
      </c>
      <c r="D41" s="2">
        <f t="shared" si="0"/>
        <v>2.1394859387277183</v>
      </c>
      <c r="E41">
        <f t="shared" si="2"/>
        <v>8.3901409361871303E-3</v>
      </c>
      <c r="H41" s="2">
        <f t="shared" si="1"/>
        <v>5.0118723362727344</v>
      </c>
      <c r="I41" s="6">
        <f t="shared" si="3"/>
        <v>5.0118723362727345E-2</v>
      </c>
    </row>
    <row r="42" spans="2:9" x14ac:dyDescent="0.25">
      <c r="B42">
        <v>36</v>
      </c>
      <c r="D42" s="2">
        <f t="shared" si="0"/>
        <v>2.1864867455512567</v>
      </c>
      <c r="E42">
        <f t="shared" si="2"/>
        <v>8.5744578256912018E-3</v>
      </c>
      <c r="H42" s="2">
        <f t="shared" si="1"/>
        <v>5.2480746024977387</v>
      </c>
      <c r="I42" s="6">
        <f t="shared" si="3"/>
        <v>5.2480746024977383E-2</v>
      </c>
    </row>
    <row r="43" spans="2:9" x14ac:dyDescent="0.25">
      <c r="B43">
        <v>37</v>
      </c>
      <c r="D43" s="2">
        <f t="shared" si="0"/>
        <v>2.2345200788345747</v>
      </c>
      <c r="E43">
        <f t="shared" si="2"/>
        <v>8.7628238385669601E-3</v>
      </c>
      <c r="H43" s="2">
        <f t="shared" si="1"/>
        <v>5.4954087385762591</v>
      </c>
      <c r="I43" s="6">
        <f t="shared" si="3"/>
        <v>5.4954087385762587E-2</v>
      </c>
    </row>
    <row r="44" spans="2:9" x14ac:dyDescent="0.25">
      <c r="B44">
        <v>38</v>
      </c>
      <c r="D44" s="2">
        <f t="shared" si="0"/>
        <v>2.2836086213987183</v>
      </c>
      <c r="E44">
        <f t="shared" si="2"/>
        <v>8.9553279270537973E-3</v>
      </c>
      <c r="H44" s="2">
        <f t="shared" si="1"/>
        <v>5.7543993733715837</v>
      </c>
      <c r="I44" s="6">
        <f t="shared" si="3"/>
        <v>5.7543993733715833E-2</v>
      </c>
    </row>
    <row r="45" spans="2:9" x14ac:dyDescent="0.25">
      <c r="B45">
        <v>39</v>
      </c>
      <c r="D45" s="2">
        <f t="shared" si="0"/>
        <v>2.3337755543670906</v>
      </c>
      <c r="E45">
        <f t="shared" si="2"/>
        <v>9.1520609975180023E-3</v>
      </c>
      <c r="H45" s="2">
        <f t="shared" si="1"/>
        <v>6.0255958607435929</v>
      </c>
      <c r="I45" s="6">
        <f t="shared" si="3"/>
        <v>6.0255958607435926E-2</v>
      </c>
    </row>
    <row r="46" spans="2:9" x14ac:dyDescent="0.25">
      <c r="B46">
        <v>40</v>
      </c>
      <c r="D46" s="2">
        <f t="shared" si="0"/>
        <v>2.3850445681122956</v>
      </c>
      <c r="E46">
        <f t="shared" si="2"/>
        <v>9.3531159533815512E-3</v>
      </c>
      <c r="H46" s="2">
        <f t="shared" si="1"/>
        <v>6.3095734448019485</v>
      </c>
      <c r="I46" s="6">
        <f t="shared" si="3"/>
        <v>6.3095734448019483E-2</v>
      </c>
    </row>
    <row r="47" spans="2:9" x14ac:dyDescent="0.25">
      <c r="B47">
        <v>41</v>
      </c>
      <c r="D47" s="2">
        <f t="shared" si="0"/>
        <v>2.4374398734434615</v>
      </c>
      <c r="E47">
        <f t="shared" si="2"/>
        <v>9.558587738993967E-3</v>
      </c>
      <c r="H47" s="2">
        <f t="shared" si="1"/>
        <v>6.6069344800759762</v>
      </c>
      <c r="I47" s="6">
        <f t="shared" si="3"/>
        <v>6.6069344800759766E-2</v>
      </c>
    </row>
    <row r="48" spans="2:9" x14ac:dyDescent="0.25">
      <c r="B48">
        <v>42</v>
      </c>
      <c r="D48" s="2">
        <f t="shared" si="0"/>
        <v>2.4909862130393328</v>
      </c>
      <c r="E48">
        <f t="shared" si="2"/>
        <v>9.7685733844679722E-3</v>
      </c>
      <c r="H48" s="2">
        <f t="shared" si="1"/>
        <v>6.9183097091893826</v>
      </c>
      <c r="I48" s="6">
        <f t="shared" si="3"/>
        <v>6.9183097091893825E-2</v>
      </c>
    </row>
    <row r="49" spans="2:9" x14ac:dyDescent="0.25">
      <c r="B49">
        <v>43</v>
      </c>
      <c r="D49" s="2">
        <f t="shared" si="0"/>
        <v>2.5457088731325239</v>
      </c>
      <c r="E49">
        <f t="shared" si="2"/>
        <v>9.9831720515000943E-3</v>
      </c>
      <c r="H49" s="2">
        <f t="shared" si="1"/>
        <v>7.2443596007499194</v>
      </c>
      <c r="I49" s="6">
        <f t="shared" si="3"/>
        <v>7.2443596007499195E-2</v>
      </c>
    </row>
    <row r="50" spans="2:9" x14ac:dyDescent="0.25">
      <c r="B50">
        <v>44</v>
      </c>
      <c r="D50" s="2">
        <f t="shared" si="0"/>
        <v>2.60163369545046</v>
      </c>
      <c r="E50">
        <f t="shared" si="2"/>
        <v>1.0202485080197882E-2</v>
      </c>
      <c r="H50" s="2">
        <f t="shared" si="1"/>
        <v>7.5857757502918579</v>
      </c>
      <c r="I50" s="6">
        <f t="shared" si="3"/>
        <v>7.585775750291858E-2</v>
      </c>
    </row>
    <row r="51" spans="2:9" x14ac:dyDescent="0.25">
      <c r="B51">
        <v>45</v>
      </c>
      <c r="D51" s="2">
        <f t="shared" si="0"/>
        <v>2.6587870894186345</v>
      </c>
      <c r="E51">
        <f t="shared" si="2"/>
        <v>1.0426616036935822E-2</v>
      </c>
      <c r="H51" s="2">
        <f t="shared" si="1"/>
        <v>7.9432823472428371</v>
      </c>
      <c r="I51" s="6">
        <f t="shared" si="3"/>
        <v>7.9432823472428374E-2</v>
      </c>
    </row>
    <row r="52" spans="2:9" x14ac:dyDescent="0.25">
      <c r="B52">
        <v>46</v>
      </c>
      <c r="D52" s="2">
        <f t="shared" si="0"/>
        <v>2.7171960446319585</v>
      </c>
      <c r="E52">
        <f t="shared" si="2"/>
        <v>1.0655670763262582E-2</v>
      </c>
      <c r="H52" s="2">
        <f t="shared" si="1"/>
        <v>8.3176377110267339</v>
      </c>
      <c r="I52" s="6">
        <f t="shared" si="3"/>
        <v>8.3176377110267347E-2</v>
      </c>
    </row>
    <row r="53" spans="2:9" x14ac:dyDescent="0.25">
      <c r="B53">
        <v>47</v>
      </c>
      <c r="D53" s="2">
        <f t="shared" si="0"/>
        <v>2.7768881436000754</v>
      </c>
      <c r="E53">
        <f t="shared" si="2"/>
        <v>1.0889757425882649E-2</v>
      </c>
      <c r="H53" s="2">
        <f>I53*100</f>
        <v>8.7096358995608334</v>
      </c>
      <c r="I53" s="6">
        <f t="shared" si="3"/>
        <v>8.7096358995608331E-2</v>
      </c>
    </row>
    <row r="54" spans="2:9" x14ac:dyDescent="0.25">
      <c r="B54">
        <v>48</v>
      </c>
      <c r="D54" s="2">
        <f t="shared" si="0"/>
        <v>2.8378915747726747</v>
      </c>
      <c r="E54">
        <f t="shared" si="2"/>
        <v>1.112898656773598E-2</v>
      </c>
      <c r="H54" s="2">
        <f t="shared" si="1"/>
        <v>9.1201083935591267</v>
      </c>
      <c r="I54" s="6">
        <f t="shared" si="3"/>
        <v>9.1201083935591259E-2</v>
      </c>
    </row>
    <row r="55" spans="2:9" x14ac:dyDescent="0.25">
      <c r="B55">
        <v>49</v>
      </c>
      <c r="D55" s="2">
        <f t="shared" si="0"/>
        <v>2.9002351458509485</v>
      </c>
      <c r="E55">
        <f t="shared" si="2"/>
        <v>1.1373471160199797E-2</v>
      </c>
      <c r="H55" s="2">
        <f t="shared" si="1"/>
        <v>9.5499258602143886</v>
      </c>
      <c r="I55" s="6">
        <f t="shared" si="3"/>
        <v>9.5499258602143894E-2</v>
      </c>
    </row>
    <row r="56" spans="2:9" x14ac:dyDescent="0.25">
      <c r="B56">
        <v>50</v>
      </c>
      <c r="D56" s="2">
        <f t="shared" si="0"/>
        <v>2.9639482973914713</v>
      </c>
      <c r="E56">
        <f t="shared" si="2"/>
        <v>1.1623326656437142E-2</v>
      </c>
      <c r="H56" s="2">
        <f t="shared" si="1"/>
        <v>10.000000000000032</v>
      </c>
      <c r="I56" s="6">
        <f>I55*$I$4</f>
        <v>0.10000000000000032</v>
      </c>
    </row>
    <row r="57" spans="2:9" x14ac:dyDescent="0.25">
      <c r="B57">
        <v>51</v>
      </c>
      <c r="D57" s="2">
        <f t="shared" si="0"/>
        <v>3.0290611167089443</v>
      </c>
      <c r="E57">
        <f t="shared" si="2"/>
        <v>1.1878671045917428E-2</v>
      </c>
      <c r="H57" s="2">
        <f t="shared" si="1"/>
        <v>10.471285480509032</v>
      </c>
      <c r="I57" s="6">
        <f t="shared" si="3"/>
        <v>0.10471285480509031</v>
      </c>
    </row>
    <row r="58" spans="2:9" x14ac:dyDescent="0.25">
      <c r="B58">
        <v>52</v>
      </c>
      <c r="D58" s="2">
        <f t="shared" si="0"/>
        <v>3.0956043520843495</v>
      </c>
      <c r="E58">
        <f t="shared" si="2"/>
        <v>1.2139624910134704E-2</v>
      </c>
      <c r="H58" s="2">
        <f t="shared" si="1"/>
        <v>10.964781961431887</v>
      </c>
      <c r="I58" s="6">
        <f t="shared" si="3"/>
        <v>0.10964781961431888</v>
      </c>
    </row>
    <row r="59" spans="2:9" x14ac:dyDescent="0.25">
      <c r="B59">
        <v>53</v>
      </c>
      <c r="D59" s="2">
        <f t="shared" si="0"/>
        <v>3.1636094272852375</v>
      </c>
      <c r="E59">
        <f t="shared" si="2"/>
        <v>1.2406311479549952E-2</v>
      </c>
      <c r="H59" s="2">
        <f t="shared" si="1"/>
        <v>11.481536214968868</v>
      </c>
      <c r="I59" s="6">
        <f t="shared" si="3"/>
        <v>0.11481536214968868</v>
      </c>
    </row>
    <row r="60" spans="2:9" x14ac:dyDescent="0.25">
      <c r="B60">
        <v>54</v>
      </c>
      <c r="D60" s="2">
        <f t="shared" si="0"/>
        <v>3.2331084564049992</v>
      </c>
      <c r="E60">
        <f t="shared" si="2"/>
        <v>1.2678856691784311E-2</v>
      </c>
      <c r="H60" s="2">
        <f t="shared" si="1"/>
        <v>12.022644346174173</v>
      </c>
      <c r="I60" s="6">
        <f t="shared" si="3"/>
        <v>0.12022644346174173</v>
      </c>
    </row>
    <row r="61" spans="2:9" x14ac:dyDescent="0.25">
      <c r="B61">
        <v>55</v>
      </c>
      <c r="D61" s="2">
        <f t="shared" si="0"/>
        <v>3.3041342590281308</v>
      </c>
      <c r="E61">
        <f t="shared" si="2"/>
        <v>1.2957389251090709E-2</v>
      </c>
      <c r="H61" s="2">
        <f t="shared" si="1"/>
        <v>12.589254117941721</v>
      </c>
      <c r="I61" s="6">
        <f t="shared" si="3"/>
        <v>0.1258925411794172</v>
      </c>
    </row>
    <row r="62" spans="2:9" x14ac:dyDescent="0.25">
      <c r="B62">
        <v>56</v>
      </c>
      <c r="D62" s="2">
        <f t="shared" si="0"/>
        <v>3.3767203757286528</v>
      </c>
      <c r="E62">
        <f t="shared" si="2"/>
        <v>1.3242040689131972E-2</v>
      </c>
      <c r="H62" s="2">
        <f t="shared" si="1"/>
        <v>13.182567385564123</v>
      </c>
      <c r="I62" s="6">
        <f t="shared" si="3"/>
        <v>0.13182567385564123</v>
      </c>
    </row>
    <row r="63" spans="2:9" x14ac:dyDescent="0.25">
      <c r="B63">
        <v>57</v>
      </c>
      <c r="D63" s="2">
        <f t="shared" si="0"/>
        <v>3.4509010839090055</v>
      </c>
      <c r="E63">
        <f t="shared" si="2"/>
        <v>1.3532945427094139E-2</v>
      </c>
      <c r="H63" s="2">
        <f t="shared" si="1"/>
        <v>13.803842646028905</v>
      </c>
      <c r="I63" s="6">
        <f t="shared" si="3"/>
        <v>0.13803842646028905</v>
      </c>
    </row>
    <row r="64" spans="2:9" x14ac:dyDescent="0.25">
      <c r="B64">
        <v>58</v>
      </c>
      <c r="D64" s="2">
        <f t="shared" si="0"/>
        <v>3.5267114139868925</v>
      </c>
      <c r="E64">
        <f t="shared" si="2"/>
        <v>1.3830240839164284E-2</v>
      </c>
      <c r="H64" s="2">
        <f t="shared" si="1"/>
        <v>14.454397707459336</v>
      </c>
      <c r="I64" s="6">
        <f t="shared" si="3"/>
        <v>0.14454397707459335</v>
      </c>
    </row>
    <row r="65" spans="2:9" x14ac:dyDescent="0.25">
      <c r="B65">
        <v>59</v>
      </c>
      <c r="D65" s="2">
        <f t="shared" si="0"/>
        <v>3.6041871659377267</v>
      </c>
      <c r="E65">
        <f t="shared" si="2"/>
        <v>1.4134067317402849E-2</v>
      </c>
      <c r="H65" s="2">
        <f t="shared" si="1"/>
        <v>15.135612484362145</v>
      </c>
      <c r="I65" s="6">
        <f t="shared" si="3"/>
        <v>0.15135612484362146</v>
      </c>
    </row>
    <row r="66" spans="2:9" x14ac:dyDescent="0.25">
      <c r="B66">
        <v>60</v>
      </c>
      <c r="D66" s="2">
        <f t="shared" si="0"/>
        <v>3.6833649262004799</v>
      </c>
      <c r="E66">
        <f t="shared" si="2"/>
        <v>1.4444568338041098E-2</v>
      </c>
      <c r="H66" s="2">
        <f t="shared" si="1"/>
        <v>15.848931924611204</v>
      </c>
      <c r="I66" s="6">
        <f t="shared" si="3"/>
        <v>0.15848931924611204</v>
      </c>
    </row>
    <row r="67" spans="2:9" x14ac:dyDescent="0.25">
      <c r="B67">
        <v>61</v>
      </c>
      <c r="D67" s="2">
        <f t="shared" si="0"/>
        <v>3.7642820849549308</v>
      </c>
      <c r="E67">
        <f t="shared" si="2"/>
        <v>1.4761890529235022E-2</v>
      </c>
      <c r="H67" s="2">
        <f t="shared" si="1"/>
        <v>16.595869074375681</v>
      </c>
      <c r="I67" s="6">
        <f t="shared" si="3"/>
        <v>0.1659586907437568</v>
      </c>
    </row>
    <row r="68" spans="2:9" x14ac:dyDescent="0.25">
      <c r="B68">
        <v>62</v>
      </c>
      <c r="D68" s="2">
        <f t="shared" si="0"/>
        <v>3.8469768537784566</v>
      </c>
      <c r="E68">
        <f t="shared" si="2"/>
        <v>1.5086183740307672E-2</v>
      </c>
      <c r="H68" s="2">
        <f t="shared" si="1"/>
        <v>17.378008287493831</v>
      </c>
      <c r="I68" s="6">
        <f t="shared" si="3"/>
        <v>0.17378008287493832</v>
      </c>
    </row>
    <row r="69" spans="2:9" x14ac:dyDescent="0.25">
      <c r="B69">
        <v>63</v>
      </c>
      <c r="D69" s="2">
        <f t="shared" si="0"/>
        <v>3.9314882836907219</v>
      </c>
      <c r="E69">
        <f t="shared" si="2"/>
        <v>1.5417601112512634E-2</v>
      </c>
      <c r="H69" s="2">
        <f t="shared" si="1"/>
        <v>18.197008586099916</v>
      </c>
      <c r="I69" s="6">
        <f t="shared" si="3"/>
        <v>0.18197008586099916</v>
      </c>
    </row>
    <row r="70" spans="2:9" x14ac:dyDescent="0.25">
      <c r="B70">
        <v>64</v>
      </c>
      <c r="D70" s="2">
        <f t="shared" ref="D70:D133" si="4">E70*255</f>
        <v>4.0178562835947718</v>
      </c>
      <c r="E70">
        <f t="shared" si="2"/>
        <v>1.5756299151352047E-2</v>
      </c>
      <c r="H70" s="2">
        <f t="shared" si="1"/>
        <v>19.054607179632558</v>
      </c>
      <c r="I70" s="6">
        <f t="shared" si="3"/>
        <v>0.1905460717963256</v>
      </c>
    </row>
    <row r="71" spans="2:9" x14ac:dyDescent="0.25">
      <c r="B71">
        <v>65</v>
      </c>
      <c r="D71" s="2">
        <f t="shared" si="4"/>
        <v>4.1061216391232485</v>
      </c>
      <c r="E71">
        <f t="shared" si="2"/>
        <v>1.6102437800483326E-2</v>
      </c>
      <c r="H71" s="2">
        <f t="shared" ref="H71:H75" si="5">I71*100</f>
        <v>19.95262314968889</v>
      </c>
      <c r="I71" s="6">
        <f t="shared" si="3"/>
        <v>0.19952623149688889</v>
      </c>
    </row>
    <row r="72" spans="2:9" x14ac:dyDescent="0.25">
      <c r="B72">
        <v>66</v>
      </c>
      <c r="D72" s="2">
        <f t="shared" si="4"/>
        <v>4.1963260318986206</v>
      </c>
      <c r="E72">
        <f t="shared" ref="E72:E135" si="6">E71*$E$4</f>
        <v>1.6456180517249494E-2</v>
      </c>
      <c r="H72" s="2">
        <f t="shared" si="5"/>
        <v>20.892961308540496</v>
      </c>
      <c r="I72" s="6">
        <f t="shared" ref="I72:I81" si="7">I71*$I$4</f>
        <v>0.20892961308540495</v>
      </c>
    </row>
    <row r="73" spans="2:9" x14ac:dyDescent="0.25">
      <c r="B73">
        <v>67</v>
      </c>
      <c r="D73" s="2">
        <f t="shared" si="4"/>
        <v>4.2885120592165382</v>
      </c>
      <c r="E73">
        <f t="shared" si="6"/>
        <v>1.6817694349868777E-2</v>
      </c>
      <c r="H73" s="2">
        <f t="shared" si="5"/>
        <v>21.87761623949563</v>
      </c>
      <c r="I73" s="6">
        <f t="shared" si="7"/>
        <v>0.21877616239495631</v>
      </c>
    </row>
    <row r="74" spans="2:9" x14ac:dyDescent="0.25">
      <c r="B74">
        <v>68</v>
      </c>
      <c r="D74" s="2">
        <f t="shared" si="4"/>
        <v>4.3827232541615793</v>
      </c>
      <c r="E74">
        <f t="shared" si="6"/>
        <v>1.7187150016319919E-2</v>
      </c>
      <c r="H74" s="2">
        <f t="shared" si="5"/>
        <v>22.908676527677844</v>
      </c>
      <c r="I74" s="6">
        <f t="shared" si="7"/>
        <v>0.22908676527677843</v>
      </c>
    </row>
    <row r="75" spans="2:9" x14ac:dyDescent="0.25">
      <c r="B75">
        <v>69</v>
      </c>
      <c r="D75" s="2">
        <f t="shared" si="4"/>
        <v>4.4790041061649228</v>
      </c>
      <c r="E75">
        <f t="shared" si="6"/>
        <v>1.7564721984960483E-2</v>
      </c>
      <c r="H75" s="2">
        <f t="shared" si="5"/>
        <v>23.988329190195024</v>
      </c>
      <c r="I75" s="6">
        <f t="shared" si="7"/>
        <v>0.23988329190195024</v>
      </c>
    </row>
    <row r="76" spans="2:9" x14ac:dyDescent="0.25">
      <c r="B76">
        <v>70</v>
      </c>
      <c r="D76" s="2">
        <f t="shared" si="4"/>
        <v>4.5774000820136269</v>
      </c>
      <c r="E76">
        <f t="shared" si="6"/>
        <v>1.7950588556916183E-2</v>
      </c>
      <c r="H76" s="2">
        <f>I76*100</f>
        <v>25.11886431509593</v>
      </c>
      <c r="I76" s="6">
        <f t="shared" si="7"/>
        <v>0.25118864315095929</v>
      </c>
    </row>
    <row r="77" spans="2:9" x14ac:dyDescent="0.25">
      <c r="B77">
        <v>71</v>
      </c>
      <c r="D77" s="2">
        <f t="shared" si="4"/>
        <v>4.6779576473214446</v>
      </c>
      <c r="E77">
        <f t="shared" si="6"/>
        <v>1.8344931950280176E-2</v>
      </c>
      <c r="H77" s="2">
        <f t="shared" ref="H77:H95" si="8">I77*100</f>
        <v>26.302679918953952</v>
      </c>
      <c r="I77" s="6">
        <f t="shared" si="7"/>
        <v>0.26302679918953953</v>
      </c>
    </row>
    <row r="78" spans="2:9" x14ac:dyDescent="0.25">
      <c r="B78">
        <v>72</v>
      </c>
      <c r="D78" s="2">
        <f t="shared" si="4"/>
        <v>4.780724288471327</v>
      </c>
      <c r="E78">
        <f t="shared" si="6"/>
        <v>1.8747938386162066E-2</v>
      </c>
      <c r="H78" s="2">
        <f t="shared" si="8"/>
        <v>27.542287033381808</v>
      </c>
      <c r="I78" s="6">
        <f t="shared" si="7"/>
        <v>0.27542287033381807</v>
      </c>
    </row>
    <row r="79" spans="2:9" x14ac:dyDescent="0.25">
      <c r="B79">
        <v>73</v>
      </c>
      <c r="D79" s="2">
        <f t="shared" si="4"/>
        <v>4.8857485350399488</v>
      </c>
      <c r="E79">
        <f t="shared" si="6"/>
        <v>1.915979817662725E-2</v>
      </c>
      <c r="H79" s="2">
        <f t="shared" si="8"/>
        <v>28.840315031266211</v>
      </c>
      <c r="I79" s="6">
        <f t="shared" si="7"/>
        <v>0.28840315031266212</v>
      </c>
    </row>
    <row r="80" spans="2:9" x14ac:dyDescent="0.25">
      <c r="B80">
        <v>74</v>
      </c>
      <c r="D80" s="2">
        <f t="shared" si="4"/>
        <v>4.9930799827148764</v>
      </c>
      <c r="E80">
        <f t="shared" si="6"/>
        <v>1.9580705814568142E-2</v>
      </c>
      <c r="H80" s="2">
        <f t="shared" si="8"/>
        <v>30.199517204020321</v>
      </c>
      <c r="I80" s="6">
        <f t="shared" si="7"/>
        <v>0.30199517204020321</v>
      </c>
    </row>
    <row r="81" spans="2:9" x14ac:dyDescent="0.25">
      <c r="B81">
        <v>75</v>
      </c>
      <c r="D81" s="2">
        <f t="shared" si="4"/>
        <v>5.1027693167151806</v>
      </c>
      <c r="E81">
        <f t="shared" si="6"/>
        <v>2.0010860065549727E-2</v>
      </c>
      <c r="H81" s="2">
        <f t="shared" si="8"/>
        <v>31.62277660168396</v>
      </c>
      <c r="I81" s="6">
        <f t="shared" si="7"/>
        <v>0.31622776601683961</v>
      </c>
    </row>
    <row r="82" spans="2:9" x14ac:dyDescent="0.25">
      <c r="B82">
        <v>76</v>
      </c>
      <c r="D82" s="2">
        <f t="shared" si="4"/>
        <v>5.2148683357265559</v>
      </c>
      <c r="E82">
        <f t="shared" si="6"/>
        <v>2.0450464061672769E-2</v>
      </c>
      <c r="H82" s="2">
        <f t="shared" si="8"/>
        <v>33.11311214825929</v>
      </c>
      <c r="I82" s="6">
        <f>I81*$I$4</f>
        <v>0.33113112148259288</v>
      </c>
    </row>
    <row r="83" spans="2:9" x14ac:dyDescent="0.25">
      <c r="B83">
        <v>77</v>
      </c>
      <c r="D83" s="2">
        <f t="shared" si="4"/>
        <v>5.3294299763622615</v>
      </c>
      <c r="E83">
        <f t="shared" si="6"/>
        <v>2.0899725397499066E-2</v>
      </c>
      <c r="H83" s="2">
        <f t="shared" si="8"/>
        <v>34.673685045253357</v>
      </c>
      <c r="I83" s="6">
        <f t="shared" ref="I83:I106" si="9">I82*$I$4</f>
        <v>0.34673685045253355</v>
      </c>
    </row>
    <row r="84" spans="2:9" x14ac:dyDescent="0.25">
      <c r="B84">
        <v>78</v>
      </c>
      <c r="D84" s="2">
        <f t="shared" si="4"/>
        <v>5.4465083381614212</v>
      </c>
      <c r="E84">
        <f t="shared" si="6"/>
        <v>2.1358856228084006E-2</v>
      </c>
      <c r="H84" s="2">
        <f t="shared" si="8"/>
        <v>36.307805477010334</v>
      </c>
      <c r="I84" s="6">
        <f t="shared" si="9"/>
        <v>0.36307805477010335</v>
      </c>
    </row>
    <row r="85" spans="2:9" x14ac:dyDescent="0.25">
      <c r="B85">
        <v>79</v>
      </c>
      <c r="D85" s="2">
        <f t="shared" si="4"/>
        <v>5.5661587091364915</v>
      </c>
      <c r="E85">
        <f t="shared" si="6"/>
        <v>2.1828073369162711E-2</v>
      </c>
      <c r="H85" s="2">
        <f t="shared" si="8"/>
        <v>38.01893963205633</v>
      </c>
      <c r="I85" s="6">
        <f t="shared" si="9"/>
        <v>0.38018939632056331</v>
      </c>
    </row>
    <row r="86" spans="2:9" x14ac:dyDescent="0.25">
      <c r="B86">
        <v>80</v>
      </c>
      <c r="D86" s="2">
        <f t="shared" si="4"/>
        <v>5.6884375918819661</v>
      </c>
      <c r="E86">
        <f t="shared" si="6"/>
        <v>2.2307598399537124E-2</v>
      </c>
      <c r="H86" s="2">
        <f t="shared" si="8"/>
        <v>39.810717055349947</v>
      </c>
      <c r="I86" s="6">
        <f t="shared" si="9"/>
        <v>0.39810717055349948</v>
      </c>
    </row>
    <row r="87" spans="2:9" x14ac:dyDescent="0.25">
      <c r="B87">
        <v>81</v>
      </c>
      <c r="D87" s="2">
        <f t="shared" si="4"/>
        <v>5.8134027302566498</v>
      </c>
      <c r="E87">
        <f t="shared" si="6"/>
        <v>2.2797657765712354E-2</v>
      </c>
      <c r="H87" s="2">
        <f t="shared" si="8"/>
        <v>41.686938347033774</v>
      </c>
      <c r="I87" s="6">
        <f t="shared" si="9"/>
        <v>0.41686938347033775</v>
      </c>
    </row>
    <row r="88" spans="2:9" x14ac:dyDescent="0.25">
      <c r="B88">
        <v>82</v>
      </c>
      <c r="D88" s="2">
        <f t="shared" si="4"/>
        <v>5.9411131366520795</v>
      </c>
      <c r="E88">
        <f t="shared" si="6"/>
        <v>2.3298482888831684E-2</v>
      </c>
      <c r="H88" s="2">
        <f t="shared" si="8"/>
        <v>43.651583224016846</v>
      </c>
      <c r="I88" s="6">
        <f t="shared" si="9"/>
        <v>0.43651583224016843</v>
      </c>
    </row>
    <row r="89" spans="2:9" x14ac:dyDescent="0.25">
      <c r="B89">
        <v>83</v>
      </c>
      <c r="D89" s="2">
        <f t="shared" si="4"/>
        <v>6.0716291198600016</v>
      </c>
      <c r="E89">
        <f t="shared" si="6"/>
        <v>2.3810310273960789E-2</v>
      </c>
      <c r="H89" s="2">
        <f t="shared" si="8"/>
        <v>45.708818961487765</v>
      </c>
      <c r="I89" s="6">
        <f t="shared" si="9"/>
        <v>0.45708818961487763</v>
      </c>
    </row>
    <row r="90" spans="2:9" x14ac:dyDescent="0.25">
      <c r="B90">
        <v>84</v>
      </c>
      <c r="D90" s="2">
        <f t="shared" si="4"/>
        <v>6.2050123135520385</v>
      </c>
      <c r="E90">
        <f t="shared" si="6"/>
        <v>2.43333816217727E-2</v>
      </c>
      <c r="H90" s="2">
        <f t="shared" si="8"/>
        <v>47.863009232264112</v>
      </c>
      <c r="I90" s="6">
        <f t="shared" si="9"/>
        <v>0.47863009232264109</v>
      </c>
    </row>
    <row r="91" spans="2:9" x14ac:dyDescent="0.25">
      <c r="B91">
        <v>85</v>
      </c>
      <c r="D91" s="2">
        <f t="shared" si="4"/>
        <v>6.3413257053850156</v>
      </c>
      <c r="E91">
        <f t="shared" si="6"/>
        <v>2.4867943942686335E-2</v>
      </c>
      <c r="H91" s="2">
        <f t="shared" si="8"/>
        <v>50.118723362727522</v>
      </c>
      <c r="I91" s="6">
        <f t="shared" si="9"/>
        <v>0.50118723362727524</v>
      </c>
    </row>
    <row r="92" spans="2:9" x14ac:dyDescent="0.25">
      <c r="B92">
        <v>86</v>
      </c>
      <c r="D92" s="2">
        <f t="shared" si="4"/>
        <v>6.4806336667456677</v>
      </c>
      <c r="E92">
        <f t="shared" si="6"/>
        <v>2.5414249673512423E-2</v>
      </c>
      <c r="H92" s="2">
        <f t="shared" si="8"/>
        <v>52.480746024977577</v>
      </c>
      <c r="I92" s="6">
        <f t="shared" si="9"/>
        <v>0.52480746024977576</v>
      </c>
    </row>
    <row r="93" spans="2:9" x14ac:dyDescent="0.25">
      <c r="B93">
        <v>87</v>
      </c>
      <c r="D93" s="2">
        <f t="shared" si="4"/>
        <v>6.6230019831487965</v>
      </c>
      <c r="E93">
        <f t="shared" si="6"/>
        <v>2.5972556796661946E-2</v>
      </c>
      <c r="H93" s="2">
        <f t="shared" si="8"/>
        <v>54.954087385762797</v>
      </c>
      <c r="I93" s="6">
        <f t="shared" si="9"/>
        <v>0.54954087385762795</v>
      </c>
    </row>
    <row r="94" spans="2:9" x14ac:dyDescent="0.25">
      <c r="B94">
        <v>88</v>
      </c>
      <c r="D94" s="2">
        <f t="shared" si="4"/>
        <v>6.7684978853032174</v>
      </c>
      <c r="E94">
        <f t="shared" si="6"/>
        <v>2.6543128961973403E-2</v>
      </c>
      <c r="H94" s="2">
        <f t="shared" si="8"/>
        <v>57.543993733716057</v>
      </c>
      <c r="I94" s="6">
        <f t="shared" si="9"/>
        <v>0.57543993733716059</v>
      </c>
    </row>
    <row r="95" spans="2:9" x14ac:dyDescent="0.25">
      <c r="B95">
        <v>89</v>
      </c>
      <c r="D95" s="2">
        <f t="shared" si="4"/>
        <v>6.9171900808601761</v>
      </c>
      <c r="E95">
        <f t="shared" si="6"/>
        <v>2.7126235611216378E-2</v>
      </c>
      <c r="H95" s="2">
        <f t="shared" si="8"/>
        <v>60.255958607436163</v>
      </c>
      <c r="I95" s="6">
        <f t="shared" si="9"/>
        <v>0.60255958607436166</v>
      </c>
    </row>
    <row r="96" spans="2:9" x14ac:dyDescent="0.25">
      <c r="B96">
        <v>90</v>
      </c>
      <c r="D96" s="2">
        <f t="shared" si="4"/>
        <v>7.0691487868592171</v>
      </c>
      <c r="E96">
        <f t="shared" si="6"/>
        <v>2.7722152105330262E-2</v>
      </c>
      <c r="H96" s="2">
        <f>I96*100</f>
        <v>63.095734448019734</v>
      </c>
      <c r="I96" s="6">
        <f t="shared" si="9"/>
        <v>0.63095734448019736</v>
      </c>
    </row>
    <row r="97" spans="2:9" x14ac:dyDescent="0.25">
      <c r="B97">
        <v>91</v>
      </c>
      <c r="D97" s="2">
        <f t="shared" si="4"/>
        <v>7.224445762886833</v>
      </c>
      <c r="E97">
        <f t="shared" si="6"/>
        <v>2.8331159854458169E-2</v>
      </c>
      <c r="H97" s="2">
        <f t="shared" ref="H97:H106" si="10">I97*100</f>
        <v>66.069344800760035</v>
      </c>
      <c r="I97" s="6">
        <f t="shared" si="9"/>
        <v>0.66069344800760033</v>
      </c>
    </row>
    <row r="98" spans="2:9" x14ac:dyDescent="0.25">
      <c r="B98">
        <v>92</v>
      </c>
      <c r="D98" s="2">
        <f t="shared" si="4"/>
        <v>7.383154344963561</v>
      </c>
      <c r="E98">
        <f t="shared" si="6"/>
        <v>2.8953546450837496E-2</v>
      </c>
      <c r="H98" s="2">
        <f t="shared" si="10"/>
        <v>69.183097091894112</v>
      </c>
      <c r="I98" s="6">
        <f t="shared" si="9"/>
        <v>0.69183097091894108</v>
      </c>
    </row>
    <row r="99" spans="2:9" x14ac:dyDescent="0.25">
      <c r="B99">
        <v>93</v>
      </c>
      <c r="D99" s="2">
        <f t="shared" si="4"/>
        <v>7.5453494801755081</v>
      </c>
      <c r="E99">
        <f t="shared" si="6"/>
        <v>2.9589605804609835E-2</v>
      </c>
      <c r="H99" s="2">
        <f t="shared" si="10"/>
        <v>72.443596007499494</v>
      </c>
      <c r="I99" s="6">
        <f t="shared" si="9"/>
        <v>0.72443596007499489</v>
      </c>
    </row>
    <row r="100" spans="2:9" x14ac:dyDescent="0.25">
      <c r="B100">
        <v>94</v>
      </c>
      <c r="D100" s="2">
        <f t="shared" si="4"/>
        <v>7.7111077620666739</v>
      </c>
      <c r="E100">
        <f t="shared" si="6"/>
        <v>3.0239638282614407E-2</v>
      </c>
      <c r="H100" s="2">
        <f t="shared" si="10"/>
        <v>75.857757502918886</v>
      </c>
      <c r="I100" s="6">
        <f t="shared" si="9"/>
        <v>0.75857757502918888</v>
      </c>
    </row>
    <row r="101" spans="2:9" x14ac:dyDescent="0.25">
      <c r="B101">
        <v>95</v>
      </c>
      <c r="D101" s="2">
        <f t="shared" si="4"/>
        <v>7.8805074668087887</v>
      </c>
      <c r="E101">
        <f t="shared" si="6"/>
        <v>3.0903950850230545E-2</v>
      </c>
      <c r="H101" s="2">
        <f t="shared" si="10"/>
        <v>79.432823472428694</v>
      </c>
      <c r="I101" s="6">
        <f t="shared" si="9"/>
        <v>0.79432823472428693</v>
      </c>
    </row>
    <row r="102" spans="2:9" x14ac:dyDescent="0.25">
      <c r="B102">
        <v>96</v>
      </c>
      <c r="D102" s="2">
        <f t="shared" si="4"/>
        <v>8.0536285901657347</v>
      </c>
      <c r="E102">
        <f t="shared" si="6"/>
        <v>3.1582857216336212E-2</v>
      </c>
      <c r="H102" s="2">
        <f t="shared" si="10"/>
        <v>83.17637711026768</v>
      </c>
      <c r="I102" s="6">
        <f t="shared" si="9"/>
        <v>0.83176377110267674</v>
      </c>
    </row>
    <row r="103" spans="2:9" x14ac:dyDescent="0.25">
      <c r="B103">
        <v>97</v>
      </c>
      <c r="D103" s="2">
        <f t="shared" si="4"/>
        <v>8.2305528852700061</v>
      </c>
      <c r="E103">
        <f t="shared" si="6"/>
        <v>3.2276677981451007E-2</v>
      </c>
      <c r="H103" s="2">
        <f t="shared" si="10"/>
        <v>87.096358995608668</v>
      </c>
      <c r="I103" s="6">
        <f t="shared" si="9"/>
        <v>0.87096358995608669</v>
      </c>
    </row>
    <row r="104" spans="2:9" x14ac:dyDescent="0.25">
      <c r="B104">
        <v>98</v>
      </c>
      <c r="D104" s="2">
        <f t="shared" si="4"/>
        <v>8.4113639012290715</v>
      </c>
      <c r="E104">
        <f t="shared" si="6"/>
        <v>3.2985740789133612E-2</v>
      </c>
      <c r="H104" s="2">
        <f t="shared" si="10"/>
        <v>91.201083935591626</v>
      </c>
      <c r="I104" s="6">
        <f t="shared" si="9"/>
        <v>0.9120108393559162</v>
      </c>
    </row>
    <row r="105" spans="2:9" x14ac:dyDescent="0.25">
      <c r="B105">
        <v>99</v>
      </c>
      <c r="D105" s="2">
        <f t="shared" si="4"/>
        <v>8.5961470225798227</v>
      </c>
      <c r="E105">
        <f t="shared" si="6"/>
        <v>3.3710380480705189E-2</v>
      </c>
      <c r="H105" s="2">
        <f t="shared" si="10"/>
        <v>95.49925860214428</v>
      </c>
      <c r="I105" s="6">
        <f t="shared" si="9"/>
        <v>0.95499258602144277</v>
      </c>
    </row>
    <row r="106" spans="2:9" x14ac:dyDescent="0.25">
      <c r="B106">
        <v>100</v>
      </c>
      <c r="D106" s="2">
        <f t="shared" si="4"/>
        <v>8.784989509609801</v>
      </c>
      <c r="E106">
        <f t="shared" si="6"/>
        <v>3.4450939253371768E-2</v>
      </c>
      <c r="H106" s="2">
        <f t="shared" si="10"/>
        <v>100.00000000000071</v>
      </c>
      <c r="I106" s="6">
        <f t="shared" si="9"/>
        <v>1.0000000000000071</v>
      </c>
    </row>
    <row r="107" spans="2:9" x14ac:dyDescent="0.25">
      <c r="B107">
        <v>101</v>
      </c>
      <c r="D107" s="2">
        <f t="shared" si="4"/>
        <v>8.9779805395641841</v>
      </c>
      <c r="E107">
        <f t="shared" si="6"/>
        <v>3.5207766821820329E-2</v>
      </c>
      <c r="H107" s="2"/>
    </row>
    <row r="108" spans="2:9" x14ac:dyDescent="0.25">
      <c r="B108">
        <v>102</v>
      </c>
      <c r="D108" s="2">
        <f t="shared" si="4"/>
        <v>9.1752112487580373</v>
      </c>
      <c r="E108">
        <f t="shared" si="6"/>
        <v>3.5981220583364851E-2</v>
      </c>
      <c r="H108" s="2"/>
    </row>
    <row r="109" spans="2:9" x14ac:dyDescent="0.25">
      <c r="B109">
        <v>103</v>
      </c>
      <c r="D109" s="2">
        <f t="shared" si="4"/>
        <v>9.3767747756136881</v>
      </c>
      <c r="E109">
        <f t="shared" si="6"/>
        <v>3.6771665786720344E-2</v>
      </c>
      <c r="H109" s="2"/>
    </row>
    <row r="110" spans="2:9" x14ac:dyDescent="0.25">
      <c r="B110">
        <v>104</v>
      </c>
      <c r="D110" s="2">
        <f t="shared" si="4"/>
        <v>9.5827663046435649</v>
      </c>
      <c r="E110">
        <f t="shared" si="6"/>
        <v>3.7579475704484569E-2</v>
      </c>
      <c r="H110" s="2"/>
    </row>
    <row r="111" spans="2:9" x14ac:dyDescent="0.25">
      <c r="B111">
        <v>105</v>
      </c>
      <c r="D111" s="2">
        <f t="shared" si="4"/>
        <v>9.7932831113992567</v>
      </c>
      <c r="E111">
        <f t="shared" si="6"/>
        <v>3.8405031809408852E-2</v>
      </c>
      <c r="H111" s="2"/>
    </row>
    <row r="112" spans="2:9" x14ac:dyDescent="0.25">
      <c r="B112">
        <v>106</v>
      </c>
      <c r="D112" s="2">
        <f t="shared" si="4"/>
        <v>10.008424608408028</v>
      </c>
      <c r="E112">
        <f t="shared" si="6"/>
        <v>3.9248723954541286E-2</v>
      </c>
      <c r="H112" s="2"/>
    </row>
    <row r="113" spans="2:8" x14ac:dyDescent="0.25">
      <c r="B113">
        <v>107</v>
      </c>
      <c r="D113" s="2">
        <f t="shared" si="4"/>
        <v>10.228292392118478</v>
      </c>
      <c r="E113">
        <f t="shared" si="6"/>
        <v>4.0110950557327364E-2</v>
      </c>
      <c r="H113" s="2"/>
    </row>
    <row r="114" spans="2:8" x14ac:dyDescent="0.25">
      <c r="B114">
        <v>108</v>
      </c>
      <c r="D114" s="2">
        <f t="shared" si="4"/>
        <v>10.452990290877516</v>
      </c>
      <c r="E114">
        <f t="shared" si="6"/>
        <v>4.0992118787754966E-2</v>
      </c>
      <c r="H114" s="2"/>
    </row>
    <row r="115" spans="2:8" x14ac:dyDescent="0.25">
      <c r="B115">
        <v>109</v>
      </c>
      <c r="D115" s="2">
        <f t="shared" si="4"/>
        <v>10.682624413961314</v>
      </c>
      <c r="E115">
        <f t="shared" si="6"/>
        <v>4.1892644760632605E-2</v>
      </c>
      <c r="H115" s="2"/>
    </row>
    <row r="116" spans="2:8" x14ac:dyDescent="0.25">
      <c r="B116">
        <v>110</v>
      </c>
      <c r="D116" s="2">
        <f t="shared" si="4"/>
        <v>10.917303201683373</v>
      </c>
      <c r="E116">
        <f t="shared" si="6"/>
        <v>4.2812953732091659E-2</v>
      </c>
      <c r="H116" s="2"/>
    </row>
    <row r="117" spans="2:8" x14ac:dyDescent="0.25">
      <c r="B117">
        <v>111</v>
      </c>
      <c r="D117" s="2">
        <f t="shared" si="4"/>
        <v>11.157137476603381</v>
      </c>
      <c r="E117">
        <f t="shared" si="6"/>
        <v>4.375348030040542E-2</v>
      </c>
      <c r="H117" s="2"/>
    </row>
    <row r="118" spans="2:8" x14ac:dyDescent="0.25">
      <c r="B118">
        <v>112</v>
      </c>
      <c r="D118" s="2">
        <f t="shared" si="4"/>
        <v>11.402240495861053</v>
      </c>
      <c r="E118">
        <f t="shared" si="6"/>
        <v>4.4714668611219817E-2</v>
      </c>
      <c r="H118" s="2"/>
    </row>
    <row r="119" spans="2:8" x14ac:dyDescent="0.25">
      <c r="B119">
        <v>113</v>
      </c>
      <c r="D119" s="2">
        <f t="shared" si="4"/>
        <v>11.652728004659631</v>
      </c>
      <c r="E119">
        <f t="shared" si="6"/>
        <v>4.5696972567292667E-2</v>
      </c>
      <c r="H119" s="2"/>
    </row>
    <row r="120" spans="2:8" x14ac:dyDescent="0.25">
      <c r="B120">
        <v>114</v>
      </c>
      <c r="D120" s="2">
        <f t="shared" si="4"/>
        <v>11.908718290924346</v>
      </c>
      <c r="E120">
        <f t="shared" si="6"/>
        <v>4.670085604284057E-2</v>
      </c>
      <c r="H120" s="2"/>
    </row>
    <row r="121" spans="2:8" x14ac:dyDescent="0.25">
      <c r="B121">
        <v>115</v>
      </c>
      <c r="D121" s="2">
        <f t="shared" si="4"/>
        <v>12.170332241161626</v>
      </c>
      <c r="E121">
        <f t="shared" si="6"/>
        <v>4.772679310259461E-2</v>
      </c>
      <c r="H121" s="2"/>
    </row>
    <row r="122" spans="2:8" x14ac:dyDescent="0.25">
      <c r="B122">
        <v>116</v>
      </c>
      <c r="D122" s="2">
        <f t="shared" si="4"/>
        <v>12.437693397545424</v>
      </c>
      <c r="E122">
        <f t="shared" si="6"/>
        <v>4.8775268225668328E-2</v>
      </c>
      <c r="H122" s="2"/>
    </row>
    <row r="123" spans="2:8" x14ac:dyDescent="0.25">
      <c r="B123">
        <v>117</v>
      </c>
      <c r="D123" s="2">
        <f t="shared" si="4"/>
        <v>12.710928016257649</v>
      </c>
      <c r="E123">
        <f t="shared" si="6"/>
        <v>4.9846776534343717E-2</v>
      </c>
      <c r="H123" s="2"/>
    </row>
    <row r="124" spans="2:8" x14ac:dyDescent="0.25">
      <c r="B124">
        <v>118</v>
      </c>
      <c r="D124" s="2">
        <f t="shared" si="4"/>
        <v>12.990165127110219</v>
      </c>
      <c r="E124">
        <f t="shared" si="6"/>
        <v>5.0941824027883213E-2</v>
      </c>
      <c r="H124" s="2"/>
    </row>
    <row r="125" spans="2:8" x14ac:dyDescent="0.25">
      <c r="B125">
        <v>119</v>
      </c>
      <c r="D125" s="2">
        <f t="shared" si="4"/>
        <v>13.275536594476931</v>
      </c>
      <c r="E125">
        <f t="shared" si="6"/>
        <v>5.2060927821478156E-2</v>
      </c>
      <c r="H125" s="2"/>
    </row>
    <row r="126" spans="2:8" x14ac:dyDescent="0.25">
      <c r="B126">
        <v>120</v>
      </c>
      <c r="D126" s="2">
        <f t="shared" si="4"/>
        <v>13.567177179563865</v>
      </c>
      <c r="E126">
        <f t="shared" si="6"/>
        <v>5.3204616390446532E-2</v>
      </c>
      <c r="H126" s="2"/>
    </row>
    <row r="127" spans="2:8" x14ac:dyDescent="0.25">
      <c r="B127">
        <v>121</v>
      </c>
      <c r="D127" s="2">
        <f t="shared" si="4"/>
        <v>13.865224604047805</v>
      </c>
      <c r="E127">
        <f t="shared" si="6"/>
        <v>5.4373429819795316E-2</v>
      </c>
      <c r="H127" s="2"/>
    </row>
    <row r="128" spans="2:8" x14ac:dyDescent="0.25">
      <c r="B128">
        <v>122</v>
      </c>
      <c r="D128" s="2">
        <f t="shared" si="4"/>
        <v>14.169819615112637</v>
      </c>
      <c r="E128">
        <f t="shared" si="6"/>
        <v>5.5567920059265245E-2</v>
      </c>
      <c r="H128" s="2"/>
    </row>
    <row r="129" spans="2:8" x14ac:dyDescent="0.25">
      <c r="B129">
        <v>123</v>
      </c>
      <c r="D129" s="2">
        <f t="shared" si="4"/>
        <v>14.481106051914525</v>
      </c>
      <c r="E129">
        <f t="shared" si="6"/>
        <v>5.6788651183978529E-2</v>
      </c>
      <c r="H129" s="2"/>
    </row>
    <row r="130" spans="2:8" x14ac:dyDescent="0.25">
      <c r="B130">
        <v>124</v>
      </c>
      <c r="D130" s="2">
        <f t="shared" si="4"/>
        <v>14.79923091350719</v>
      </c>
      <c r="E130">
        <f t="shared" si="6"/>
        <v>5.8036199660812506E-2</v>
      </c>
      <c r="H130" s="2"/>
    </row>
    <row r="131" spans="2:8" x14ac:dyDescent="0.25">
      <c r="B131">
        <v>125</v>
      </c>
      <c r="D131" s="2">
        <f t="shared" si="4"/>
        <v>15.124344428259395</v>
      </c>
      <c r="E131">
        <f t="shared" si="6"/>
        <v>5.9311154620625077E-2</v>
      </c>
      <c r="H131" s="2"/>
    </row>
    <row r="132" spans="2:8" x14ac:dyDescent="0.25">
      <c r="B132">
        <v>126</v>
      </c>
      <c r="D132" s="2">
        <f t="shared" si="4"/>
        <v>15.456600124797417</v>
      </c>
      <c r="E132">
        <f t="shared" si="6"/>
        <v>6.0614118136460456E-2</v>
      </c>
      <c r="H132" s="2"/>
    </row>
    <row r="133" spans="2:8" x14ac:dyDescent="0.25">
      <c r="B133">
        <v>127</v>
      </c>
      <c r="D133" s="2">
        <f t="shared" si="4"/>
        <v>15.79615490450599</v>
      </c>
      <c r="E133">
        <f t="shared" si="6"/>
        <v>6.1945705507866627E-2</v>
      </c>
      <c r="H133" s="2"/>
    </row>
    <row r="134" spans="2:8" x14ac:dyDescent="0.25">
      <c r="B134">
        <v>128</v>
      </c>
      <c r="D134" s="2">
        <f t="shared" ref="D134:D197" si="11">E134*255</f>
        <v>16.143169115621991</v>
      </c>
      <c r="E134">
        <f t="shared" si="6"/>
        <v>6.3306545551458787E-2</v>
      </c>
      <c r="H134" s="2"/>
    </row>
    <row r="135" spans="2:8" x14ac:dyDescent="0.25">
      <c r="B135">
        <v>129</v>
      </c>
      <c r="D135" s="2">
        <f t="shared" si="11"/>
        <v>16.497806628955804</v>
      </c>
      <c r="E135">
        <f t="shared" si="6"/>
        <v>6.4697280897865903E-2</v>
      </c>
      <c r="H135" s="2"/>
    </row>
    <row r="136" spans="2:8" x14ac:dyDescent="0.25">
      <c r="B136">
        <v>130</v>
      </c>
      <c r="D136" s="2">
        <f t="shared" si="11"/>
        <v>16.860234915276187</v>
      </c>
      <c r="E136">
        <f t="shared" ref="E136:E199" si="12">E135*$E$4</f>
        <v>6.6118568295200741E-2</v>
      </c>
      <c r="H136" s="2"/>
    </row>
    <row r="137" spans="2:8" x14ac:dyDescent="0.25">
      <c r="B137">
        <v>131</v>
      </c>
      <c r="D137" s="2">
        <f t="shared" si="11"/>
        <v>17.230625124395122</v>
      </c>
      <c r="E137">
        <f t="shared" si="12"/>
        <v>6.7571078919196559E-2</v>
      </c>
      <c r="H137" s="2"/>
    </row>
    <row r="138" spans="2:8" x14ac:dyDescent="0.25">
      <c r="B138">
        <v>132</v>
      </c>
      <c r="D138" s="2">
        <f t="shared" si="11"/>
        <v>17.609152165990025</v>
      </c>
      <c r="E138">
        <f t="shared" si="12"/>
        <v>6.9055498690156966E-2</v>
      </c>
      <c r="H138" s="2"/>
    </row>
    <row r="139" spans="2:8" x14ac:dyDescent="0.25">
      <c r="B139">
        <v>133</v>
      </c>
      <c r="D139" s="2">
        <f t="shared" si="11"/>
        <v>17.995994792201518</v>
      </c>
      <c r="E139">
        <f t="shared" si="12"/>
        <v>7.0572528596868703E-2</v>
      </c>
      <c r="H139" s="2"/>
    </row>
    <row r="140" spans="2:8" x14ac:dyDescent="0.25">
      <c r="B140">
        <v>134</v>
      </c>
      <c r="D140" s="2">
        <f t="shared" si="11"/>
        <v>18.391335682045671</v>
      </c>
      <c r="E140">
        <f t="shared" si="12"/>
        <v>7.2122885027630076E-2</v>
      </c>
      <c r="H140" s="2"/>
    </row>
    <row r="141" spans="2:8" x14ac:dyDescent="0.25">
      <c r="B141">
        <v>135</v>
      </c>
      <c r="D141" s="2">
        <f t="shared" si="11"/>
        <v>18.795361527680679</v>
      </c>
      <c r="E141">
        <f t="shared" si="12"/>
        <v>7.3707300108551685E-2</v>
      </c>
      <c r="H141" s="2"/>
    </row>
    <row r="142" spans="2:8" x14ac:dyDescent="0.25">
      <c r="B142">
        <v>136</v>
      </c>
      <c r="D142" s="2">
        <f t="shared" si="11"/>
        <v>19.208263122568663</v>
      </c>
      <c r="E142">
        <f t="shared" si="12"/>
        <v>7.5326522049288872E-2</v>
      </c>
      <c r="H142" s="2"/>
    </row>
    <row r="143" spans="2:8" x14ac:dyDescent="0.25">
      <c r="B143">
        <v>137</v>
      </c>
      <c r="D143" s="2">
        <f t="shared" si="11"/>
        <v>19.630235451574208</v>
      </c>
      <c r="E143">
        <f t="shared" si="12"/>
        <v>7.698131549636944E-2</v>
      </c>
      <c r="H143" s="2"/>
    </row>
    <row r="144" spans="2:8" x14ac:dyDescent="0.25">
      <c r="B144">
        <v>138</v>
      </c>
      <c r="D144" s="2">
        <f t="shared" si="11"/>
        <v>20.061477783042243</v>
      </c>
      <c r="E144">
        <f t="shared" si="12"/>
        <v>7.8672461894283299E-2</v>
      </c>
      <c r="H144" s="2"/>
    </row>
    <row r="145" spans="2:8" x14ac:dyDescent="0.25">
      <c r="B145">
        <v>139</v>
      </c>
      <c r="D145" s="2">
        <f t="shared" si="11"/>
        <v>20.502193762898688</v>
      </c>
      <c r="E145">
        <f t="shared" si="12"/>
        <v>8.0400759854504664E-2</v>
      </c>
      <c r="H145" s="2"/>
    </row>
    <row r="146" spans="2:8" x14ac:dyDescent="0.25">
      <c r="B146">
        <v>140</v>
      </c>
      <c r="D146" s="2">
        <f t="shared" si="11"/>
        <v>20.952591510818355</v>
      </c>
      <c r="E146">
        <f t="shared" si="12"/>
        <v>8.2167025532620994E-2</v>
      </c>
      <c r="H146" s="2"/>
    </row>
    <row r="147" spans="2:8" x14ac:dyDescent="0.25">
      <c r="B147">
        <v>141</v>
      </c>
      <c r="D147" s="2">
        <f t="shared" si="11"/>
        <v>21.412883718505451</v>
      </c>
      <c r="E147">
        <f t="shared" si="12"/>
        <v>8.3972093013746862E-2</v>
      </c>
      <c r="H147" s="2"/>
    </row>
    <row r="148" spans="2:8" x14ac:dyDescent="0.25">
      <c r="B148">
        <v>142</v>
      </c>
      <c r="D148" s="2">
        <f t="shared" si="11"/>
        <v>21.883287750133185</v>
      </c>
      <c r="E148">
        <f t="shared" si="12"/>
        <v>8.5816814706404648E-2</v>
      </c>
      <c r="H148" s="2"/>
    </row>
    <row r="149" spans="2:8" x14ac:dyDescent="0.25">
      <c r="B149">
        <v>143</v>
      </c>
      <c r="D149" s="2">
        <f t="shared" si="11"/>
        <v>22.364025744989814</v>
      </c>
      <c r="E149">
        <f t="shared" si="12"/>
        <v>8.7702061745058096E-2</v>
      </c>
      <c r="H149" s="2"/>
    </row>
    <row r="150" spans="2:8" x14ac:dyDescent="0.25">
      <c r="B150">
        <v>144</v>
      </c>
      <c r="D150" s="2">
        <f t="shared" si="11"/>
        <v>22.85532472237967</v>
      </c>
      <c r="E150">
        <f t="shared" si="12"/>
        <v>8.9628724401488905E-2</v>
      </c>
      <c r="H150" s="2"/>
    </row>
    <row r="151" spans="2:8" x14ac:dyDescent="0.25">
      <c r="B151">
        <v>145</v>
      </c>
      <c r="D151" s="2">
        <f t="shared" si="11"/>
        <v>23.357416688828682</v>
      </c>
      <c r="E151">
        <f t="shared" si="12"/>
        <v>9.159771250521051E-2</v>
      </c>
      <c r="H151" s="2"/>
    </row>
    <row r="152" spans="2:8" x14ac:dyDescent="0.25">
      <c r="B152">
        <v>146</v>
      </c>
      <c r="D152" s="2">
        <f t="shared" si="11"/>
        <v>23.870538747645</v>
      </c>
      <c r="E152">
        <f t="shared" si="12"/>
        <v>9.3609955873117642E-2</v>
      </c>
      <c r="H152" s="2"/>
    </row>
    <row r="153" spans="2:8" x14ac:dyDescent="0.25">
      <c r="B153">
        <v>147</v>
      </c>
      <c r="D153" s="2">
        <f t="shared" si="11"/>
        <v>24.394933210886496</v>
      </c>
      <c r="E153">
        <f t="shared" si="12"/>
        <v>9.5666404748574491E-2</v>
      </c>
      <c r="H153" s="2"/>
    </row>
    <row r="154" spans="2:8" x14ac:dyDescent="0.25">
      <c r="B154">
        <v>148</v>
      </c>
      <c r="D154" s="2">
        <f t="shared" si="11"/>
        <v>24.93084771378799</v>
      </c>
      <c r="E154">
        <f t="shared" si="12"/>
        <v>9.7768030250148977E-2</v>
      </c>
      <c r="H154" s="2"/>
    </row>
    <row r="155" spans="2:8" x14ac:dyDescent="0.25">
      <c r="B155">
        <v>149</v>
      </c>
      <c r="D155" s="2">
        <f t="shared" si="11"/>
        <v>25.478535331702233</v>
      </c>
      <c r="E155">
        <f t="shared" si="12"/>
        <v>9.9915824830204836E-2</v>
      </c>
      <c r="H155" s="2"/>
    </row>
    <row r="156" spans="2:8" x14ac:dyDescent="0.25">
      <c r="B156">
        <v>150</v>
      </c>
      <c r="D156" s="2">
        <f t="shared" si="11"/>
        <v>26.038254699609908</v>
      </c>
      <c r="E156">
        <f t="shared" si="12"/>
        <v>0.10211080274356826</v>
      </c>
      <c r="H156" s="2"/>
    </row>
    <row r="157" spans="2:8" x14ac:dyDescent="0.25">
      <c r="B157">
        <v>151</v>
      </c>
      <c r="D157" s="2">
        <f t="shared" si="11"/>
        <v>26.610270134255025</v>
      </c>
      <c r="E157">
        <f t="shared" si="12"/>
        <v>0.1043540005264903</v>
      </c>
      <c r="H157" s="2"/>
    </row>
    <row r="158" spans="2:8" x14ac:dyDescent="0.25">
      <c r="B158">
        <v>152</v>
      </c>
      <c r="D158" s="2">
        <f t="shared" si="11"/>
        <v>27.194851758963459</v>
      </c>
      <c r="E158">
        <f t="shared" si="12"/>
        <v>0.10664647748613121</v>
      </c>
      <c r="H158" s="2"/>
    </row>
    <row r="159" spans="2:8" x14ac:dyDescent="0.25">
      <c r="B159">
        <v>153</v>
      </c>
      <c r="D159" s="2">
        <f t="shared" si="11"/>
        <v>27.792275631203488</v>
      </c>
      <c r="E159">
        <f t="shared" si="12"/>
        <v>0.10898931620079799</v>
      </c>
      <c r="H159" s="2"/>
    </row>
    <row r="160" spans="2:8" x14ac:dyDescent="0.25">
      <c r="B160">
        <v>154</v>
      </c>
      <c r="D160" s="2">
        <f t="shared" si="11"/>
        <v>28.402823872948662</v>
      </c>
      <c r="E160">
        <f t="shared" si="12"/>
        <v>0.11138362303117122</v>
      </c>
      <c r="H160" s="2"/>
    </row>
    <row r="161" spans="2:8" x14ac:dyDescent="0.25">
      <c r="B161">
        <v>155</v>
      </c>
      <c r="D161" s="2">
        <f t="shared" si="11"/>
        <v>29.026784803904487</v>
      </c>
      <c r="E161">
        <f t="shared" si="12"/>
        <v>0.11383052864276269</v>
      </c>
      <c r="H161" s="2"/>
    </row>
    <row r="162" spans="2:8" x14ac:dyDescent="0.25">
      <c r="B162">
        <v>156</v>
      </c>
      <c r="D162" s="2">
        <f t="shared" si="11"/>
        <v>29.664453077661889</v>
      </c>
      <c r="E162">
        <f t="shared" si="12"/>
        <v>0.11633118853985054</v>
      </c>
      <c r="H162" s="2"/>
    </row>
    <row r="163" spans="2:8" x14ac:dyDescent="0.25">
      <c r="B163">
        <v>157</v>
      </c>
      <c r="D163" s="2">
        <f t="shared" si="11"/>
        <v>30.316129820841709</v>
      </c>
      <c r="E163">
        <f t="shared" si="12"/>
        <v>0.11888678361114396</v>
      </c>
      <c r="H163" s="2"/>
    </row>
    <row r="164" spans="2:8" x14ac:dyDescent="0.25">
      <c r="B164">
        <v>158</v>
      </c>
      <c r="D164" s="2">
        <f t="shared" si="11"/>
        <v>30.982122775296006</v>
      </c>
      <c r="E164">
        <f t="shared" si="12"/>
        <v>0.12149852068743532</v>
      </c>
      <c r="H164" s="2"/>
    </row>
    <row r="165" spans="2:8" x14ac:dyDescent="0.25">
      <c r="B165">
        <v>159</v>
      </c>
      <c r="D165" s="2">
        <f t="shared" si="11"/>
        <v>31.66274644343321</v>
      </c>
      <c r="E165">
        <f t="shared" si="12"/>
        <v>0.12416763311150279</v>
      </c>
      <c r="H165" s="2"/>
    </row>
    <row r="166" spans="2:8" x14ac:dyDescent="0.25">
      <c r="B166">
        <v>160</v>
      </c>
      <c r="D166" s="2">
        <f t="shared" si="11"/>
        <v>32.358322236735901</v>
      </c>
      <c r="E166">
        <f t="shared" si="12"/>
        <v>0.12689538132053294</v>
      </c>
      <c r="H166" s="2"/>
    </row>
    <row r="167" spans="2:8" x14ac:dyDescent="0.25">
      <c r="B167">
        <v>161</v>
      </c>
      <c r="D167" s="2">
        <f t="shared" si="11"/>
        <v>33.069178627541177</v>
      </c>
      <c r="E167">
        <f t="shared" si="12"/>
        <v>0.12968305344133796</v>
      </c>
      <c r="H167" s="2"/>
    </row>
    <row r="168" spans="2:8" x14ac:dyDescent="0.25">
      <c r="B168">
        <v>162</v>
      </c>
      <c r="D168" s="2">
        <f t="shared" si="11"/>
        <v>33.795651304155463</v>
      </c>
      <c r="E168">
        <f t="shared" si="12"/>
        <v>0.13253196589864888</v>
      </c>
      <c r="H168" s="2"/>
    </row>
    <row r="169" spans="2:8" x14ac:dyDescent="0.25">
      <c r="B169">
        <v>163</v>
      </c>
      <c r="D169" s="2">
        <f t="shared" si="11"/>
        <v>34.538083329376846</v>
      </c>
      <c r="E169">
        <f t="shared" si="12"/>
        <v>0.13544346403677193</v>
      </c>
      <c r="H169" s="2"/>
    </row>
    <row r="170" spans="2:8" x14ac:dyDescent="0.25">
      <c r="B170">
        <v>164</v>
      </c>
      <c r="D170" s="2">
        <f t="shared" si="11"/>
        <v>35.296825302499904</v>
      </c>
      <c r="E170">
        <f t="shared" si="12"/>
        <v>0.13841892275490159</v>
      </c>
      <c r="H170" s="2"/>
    </row>
    <row r="171" spans="2:8" x14ac:dyDescent="0.25">
      <c r="B171">
        <v>165</v>
      </c>
      <c r="D171" s="2">
        <f t="shared" si="11"/>
        <v>36.072235524879552</v>
      </c>
      <c r="E171">
        <f t="shared" si="12"/>
        <v>0.1414597471563904</v>
      </c>
      <c r="H171" s="2"/>
    </row>
    <row r="172" spans="2:8" x14ac:dyDescent="0.25">
      <c r="B172">
        <v>166</v>
      </c>
      <c r="D172" s="2">
        <f t="shared" si="11"/>
        <v>36.864680169131923</v>
      </c>
      <c r="E172">
        <f t="shared" si="12"/>
        <v>0.14456737321228205</v>
      </c>
      <c r="H172" s="2"/>
    </row>
    <row r="173" spans="2:8" x14ac:dyDescent="0.25">
      <c r="B173">
        <v>167</v>
      </c>
      <c r="D173" s="2">
        <f t="shared" si="11"/>
        <v>37.67453345205243</v>
      </c>
      <c r="E173">
        <f t="shared" si="12"/>
        <v>0.14774326843942129</v>
      </c>
      <c r="H173" s="2"/>
    </row>
    <row r="174" spans="2:8" x14ac:dyDescent="0.25">
      <c r="B174">
        <v>168</v>
      </c>
      <c r="D174" s="2">
        <f t="shared" si="11"/>
        <v>38.502177811332416</v>
      </c>
      <c r="E174">
        <f t="shared" si="12"/>
        <v>0.15098893259346047</v>
      </c>
      <c r="H174" s="2"/>
    </row>
    <row r="175" spans="2:8" x14ac:dyDescent="0.25">
      <c r="B175">
        <v>169</v>
      </c>
      <c r="D175" s="2">
        <f t="shared" si="11"/>
        <v>39.348004086158085</v>
      </c>
      <c r="E175">
        <f t="shared" si="12"/>
        <v>0.15430589837709052</v>
      </c>
      <c r="H175" s="2"/>
    </row>
    <row r="176" spans="2:8" x14ac:dyDescent="0.25">
      <c r="B176">
        <v>170</v>
      </c>
      <c r="D176" s="2">
        <f t="shared" si="11"/>
        <v>40.212411701776759</v>
      </c>
      <c r="E176">
        <f t="shared" si="12"/>
        <v>0.15769573216383043</v>
      </c>
      <c r="H176" s="2"/>
    </row>
    <row r="177" spans="2:8" x14ac:dyDescent="0.25">
      <c r="B177">
        <v>171</v>
      </c>
      <c r="D177" s="2">
        <f t="shared" si="11"/>
        <v>41.095808858117842</v>
      </c>
      <c r="E177">
        <f t="shared" si="12"/>
        <v>0.16116003473771703</v>
      </c>
      <c r="H177" s="2"/>
    </row>
    <row r="178" spans="2:8" x14ac:dyDescent="0.25">
      <c r="B178">
        <v>172</v>
      </c>
      <c r="D178" s="2">
        <f t="shared" si="11"/>
        <v>41.99861272255739</v>
      </c>
      <c r="E178">
        <f t="shared" si="12"/>
        <v>0.16470044204924467</v>
      </c>
      <c r="H178" s="2"/>
    </row>
    <row r="179" spans="2:8" x14ac:dyDescent="0.25">
      <c r="B179">
        <v>173</v>
      </c>
      <c r="D179" s="2">
        <f t="shared" si="11"/>
        <v>42.921249626917408</v>
      </c>
      <c r="E179">
        <f t="shared" si="12"/>
        <v>0.16831862598791139</v>
      </c>
      <c r="H179" s="2"/>
    </row>
    <row r="180" spans="2:8" x14ac:dyDescent="0.25">
      <c r="B180">
        <v>174</v>
      </c>
      <c r="D180" s="2">
        <f t="shared" si="11"/>
        <v>43.864155268792878</v>
      </c>
      <c r="E180">
        <f t="shared" si="12"/>
        <v>0.17201629517173678</v>
      </c>
      <c r="H180" s="2"/>
    </row>
    <row r="181" spans="2:8" x14ac:dyDescent="0.25">
      <c r="B181">
        <v>175</v>
      </c>
      <c r="D181" s="2">
        <f t="shared" si="11"/>
        <v>44.827774917301632</v>
      </c>
      <c r="E181">
        <f t="shared" si="12"/>
        <v>0.17579519575412406</v>
      </c>
      <c r="H181" s="2"/>
    </row>
    <row r="182" spans="2:8" x14ac:dyDescent="0.25">
      <c r="B182">
        <v>176</v>
      </c>
      <c r="D182" s="2">
        <f t="shared" si="11"/>
        <v>45.812563623354116</v>
      </c>
      <c r="E182">
        <f t="shared" si="12"/>
        <v>0.17965711224844752</v>
      </c>
      <c r="H182" s="2"/>
    </row>
    <row r="183" spans="2:8" x14ac:dyDescent="0.25">
      <c r="B183">
        <v>177</v>
      </c>
      <c r="D183" s="2">
        <f t="shared" si="11"/>
        <v>46.818986434542488</v>
      </c>
      <c r="E183">
        <f t="shared" si="12"/>
        <v>0.18360386837075485</v>
      </c>
      <c r="H183" s="2"/>
    </row>
    <row r="184" spans="2:8" x14ac:dyDescent="0.25">
      <c r="B184">
        <v>178</v>
      </c>
      <c r="D184" s="2">
        <f t="shared" si="11"/>
        <v>47.847518614750406</v>
      </c>
      <c r="E184">
        <f t="shared" si="12"/>
        <v>0.18763732790098198</v>
      </c>
      <c r="H184" s="2"/>
    </row>
    <row r="185" spans="2:8" x14ac:dyDescent="0.25">
      <c r="B185">
        <v>179</v>
      </c>
      <c r="D185" s="2">
        <f t="shared" si="11"/>
        <v>48.898645868587309</v>
      </c>
      <c r="E185">
        <f t="shared" si="12"/>
        <v>0.19175939556308749</v>
      </c>
      <c r="H185" s="2"/>
    </row>
    <row r="186" spans="2:8" x14ac:dyDescent="0.25">
      <c r="B186">
        <v>180</v>
      </c>
      <c r="D186" s="2">
        <f t="shared" si="11"/>
        <v>49.972864570753117</v>
      </c>
      <c r="E186">
        <f t="shared" si="12"/>
        <v>0.19597201792452204</v>
      </c>
      <c r="H186" s="2"/>
    </row>
    <row r="187" spans="2:8" x14ac:dyDescent="0.25">
      <c r="B187">
        <v>181</v>
      </c>
      <c r="D187" s="2">
        <f t="shared" si="11"/>
        <v>51.07068200044165</v>
      </c>
      <c r="E187">
        <f t="shared" si="12"/>
        <v>0.20027718431545746</v>
      </c>
      <c r="H187" s="2"/>
    </row>
    <row r="188" spans="2:8" x14ac:dyDescent="0.25">
      <c r="B188">
        <v>182</v>
      </c>
      <c r="D188" s="2">
        <f t="shared" si="11"/>
        <v>52.1926165808935</v>
      </c>
      <c r="E188">
        <f t="shared" si="12"/>
        <v>0.20467692776820981</v>
      </c>
      <c r="H188" s="2"/>
    </row>
    <row r="189" spans="2:8" x14ac:dyDescent="0.25">
      <c r="B189">
        <v>183</v>
      </c>
      <c r="D189" s="2">
        <f t="shared" si="11"/>
        <v>53.339198124211507</v>
      </c>
      <c r="E189">
        <f t="shared" si="12"/>
        <v>0.20917332597730001</v>
      </c>
      <c r="H189" s="2"/>
    </row>
    <row r="190" spans="2:8" x14ac:dyDescent="0.25">
      <c r="B190">
        <v>184</v>
      </c>
      <c r="D190" s="2">
        <f t="shared" si="11"/>
        <v>54.510968081554303</v>
      </c>
      <c r="E190">
        <f t="shared" si="12"/>
        <v>0.21376850228060512</v>
      </c>
      <c r="H190" s="2"/>
    </row>
    <row r="191" spans="2:8" x14ac:dyDescent="0.25">
      <c r="B191">
        <v>185</v>
      </c>
      <c r="D191" s="2">
        <f t="shared" si="11"/>
        <v>55.708479798826346</v>
      </c>
      <c r="E191">
        <f t="shared" si="12"/>
        <v>0.21846462666206409</v>
      </c>
      <c r="H191" s="2"/>
    </row>
    <row r="192" spans="2:8" x14ac:dyDescent="0.25">
      <c r="B192">
        <v>186</v>
      </c>
      <c r="D192" s="2">
        <f t="shared" si="11"/>
        <v>56.932298777984798</v>
      </c>
      <c r="E192">
        <f t="shared" si="12"/>
        <v>0.22326391677641097</v>
      </c>
      <c r="H192" s="2"/>
    </row>
    <row r="193" spans="2:8" x14ac:dyDescent="0.25">
      <c r="B193">
        <v>187</v>
      </c>
      <c r="D193" s="2">
        <f t="shared" si="11"/>
        <v>58.183002944087093</v>
      </c>
      <c r="E193">
        <f t="shared" si="12"/>
        <v>0.22816863899641998</v>
      </c>
      <c r="H193" s="2"/>
    </row>
    <row r="194" spans="2:8" x14ac:dyDescent="0.25">
      <c r="B194">
        <v>188</v>
      </c>
      <c r="D194" s="2">
        <f t="shared" si="11"/>
        <v>59.461182918204905</v>
      </c>
      <c r="E194">
        <f t="shared" si="12"/>
        <v>0.23318110948315648</v>
      </c>
      <c r="H194" s="2"/>
    </row>
    <row r="195" spans="2:8" x14ac:dyDescent="0.25">
      <c r="B195">
        <v>189</v>
      </c>
      <c r="D195" s="2">
        <f t="shared" si="11"/>
        <v>60.767442296333634</v>
      </c>
      <c r="E195">
        <f t="shared" si="12"/>
        <v>0.23830369527973974</v>
      </c>
      <c r="H195" s="2"/>
    </row>
    <row r="196" spans="2:8" x14ac:dyDescent="0.25">
      <c r="B196">
        <v>190</v>
      </c>
      <c r="D196" s="2">
        <f t="shared" si="11"/>
        <v>62.102397934429078</v>
      </c>
      <c r="E196">
        <f t="shared" si="12"/>
        <v>0.24353881542913364</v>
      </c>
      <c r="H196" s="2"/>
    </row>
    <row r="197" spans="2:8" x14ac:dyDescent="0.25">
      <c r="B197">
        <v>191</v>
      </c>
      <c r="D197" s="2">
        <f t="shared" si="11"/>
        <v>63.466680239705809</v>
      </c>
      <c r="E197">
        <f t="shared" si="12"/>
        <v>0.24888894211649337</v>
      </c>
      <c r="H197" s="2"/>
    </row>
    <row r="198" spans="2:8" x14ac:dyDescent="0.25">
      <c r="B198">
        <v>192</v>
      </c>
      <c r="D198" s="2">
        <f t="shared" ref="D198:D261" si="13">E198*255</f>
        <v>64.86093346833492</v>
      </c>
      <c r="E198">
        <f t="shared" si="12"/>
        <v>0.25435660183660752</v>
      </c>
      <c r="H198" s="2"/>
    </row>
    <row r="199" spans="2:8" x14ac:dyDescent="0.25">
      <c r="B199">
        <v>193</v>
      </c>
      <c r="D199" s="2">
        <f t="shared" si="13"/>
        <v>66.285816029681612</v>
      </c>
      <c r="E199">
        <f t="shared" si="12"/>
        <v>0.25994437658698671</v>
      </c>
      <c r="H199" s="2"/>
    </row>
    <row r="200" spans="2:8" x14ac:dyDescent="0.25">
      <c r="B200">
        <v>194</v>
      </c>
      <c r="D200" s="2">
        <f t="shared" si="13"/>
        <v>67.742000797226453</v>
      </c>
      <c r="E200">
        <f t="shared" ref="E200:E261" si="14">E199*$E$4</f>
        <v>0.26565490508716255</v>
      </c>
      <c r="H200" s="2"/>
    </row>
    <row r="201" spans="2:8" x14ac:dyDescent="0.25">
      <c r="B201">
        <v>195</v>
      </c>
      <c r="D201" s="2">
        <f t="shared" si="13"/>
        <v>69.230175426316933</v>
      </c>
      <c r="E201">
        <f t="shared" si="14"/>
        <v>0.27149088402477228</v>
      </c>
      <c r="H201" s="2"/>
    </row>
    <row r="202" spans="2:8" x14ac:dyDescent="0.25">
      <c r="B202">
        <v>196</v>
      </c>
      <c r="D202" s="2">
        <f t="shared" si="13"/>
        <v>70.751042678899566</v>
      </c>
      <c r="E202">
        <f t="shared" si="14"/>
        <v>0.27745506932901792</v>
      </c>
      <c r="H202" s="2"/>
    </row>
    <row r="203" spans="2:8" x14ac:dyDescent="0.25">
      <c r="B203">
        <v>197</v>
      </c>
      <c r="D203" s="2">
        <f t="shared" si="13"/>
        <v>72.305320755385722</v>
      </c>
      <c r="E203">
        <f t="shared" si="14"/>
        <v>0.28355027747210088</v>
      </c>
      <c r="H203" s="2"/>
    </row>
    <row r="204" spans="2:8" x14ac:dyDescent="0.25">
      <c r="B204">
        <v>198</v>
      </c>
      <c r="D204" s="2">
        <f t="shared" si="13"/>
        <v>73.893743633807986</v>
      </c>
      <c r="E204">
        <f t="shared" si="14"/>
        <v>0.28977938679924703</v>
      </c>
      <c r="H204" s="2"/>
    </row>
    <row r="205" spans="2:8" x14ac:dyDescent="0.25">
      <c r="B205">
        <v>199</v>
      </c>
      <c r="D205" s="2">
        <f t="shared" si="13"/>
        <v>75.51706141642731</v>
      </c>
      <c r="E205">
        <f t="shared" si="14"/>
        <v>0.29614533888795025</v>
      </c>
      <c r="H205" s="2"/>
    </row>
    <row r="206" spans="2:8" x14ac:dyDescent="0.25">
      <c r="B206">
        <v>200</v>
      </c>
      <c r="D206" s="2">
        <f t="shared" si="13"/>
        <v>77.176040683954298</v>
      </c>
      <c r="E206">
        <f t="shared" si="14"/>
        <v>0.30265113993707565</v>
      </c>
      <c r="H206" s="2"/>
    </row>
    <row r="207" spans="2:8" x14ac:dyDescent="0.25">
      <c r="B207">
        <v>201</v>
      </c>
      <c r="D207" s="2">
        <f t="shared" si="13"/>
        <v>78.87146485755234</v>
      </c>
      <c r="E207">
        <f t="shared" si="14"/>
        <v>0.30929986218647976</v>
      </c>
      <c r="H207" s="2"/>
    </row>
    <row r="208" spans="2:8" x14ac:dyDescent="0.25">
      <c r="B208">
        <v>202</v>
      </c>
      <c r="D208" s="2">
        <f t="shared" si="13"/>
        <v>80.604134568793242</v>
      </c>
      <c r="E208">
        <f t="shared" si="14"/>
        <v>0.31609464536781662</v>
      </c>
      <c r="H208" s="2"/>
    </row>
    <row r="209" spans="2:8" x14ac:dyDescent="0.25">
      <c r="B209">
        <v>203</v>
      </c>
      <c r="D209" s="2">
        <f t="shared" si="13"/>
        <v>82.374868037740086</v>
      </c>
      <c r="E209">
        <f t="shared" si="14"/>
        <v>0.32303869818721603</v>
      </c>
      <c r="H209" s="2"/>
    </row>
    <row r="210" spans="2:8" x14ac:dyDescent="0.25">
      <c r="B210">
        <v>204</v>
      </c>
      <c r="D210" s="2">
        <f t="shared" si="13"/>
        <v>84.184501459336047</v>
      </c>
      <c r="E210">
        <f t="shared" si="14"/>
        <v>0.33013529984053352</v>
      </c>
      <c r="H210" s="2"/>
    </row>
    <row r="211" spans="2:8" x14ac:dyDescent="0.25">
      <c r="B211">
        <v>205</v>
      </c>
      <c r="D211" s="2">
        <f t="shared" si="13"/>
        <v>86.03388939828136</v>
      </c>
      <c r="E211">
        <f t="shared" si="14"/>
        <v>0.33738780156188769</v>
      </c>
      <c r="H211" s="2"/>
    </row>
    <row r="212" spans="2:8" x14ac:dyDescent="0.25">
      <c r="B212">
        <v>206</v>
      </c>
      <c r="D212" s="2">
        <f t="shared" si="13"/>
        <v>87.923905192585167</v>
      </c>
      <c r="E212">
        <f t="shared" si="14"/>
        <v>0.34479962820621635</v>
      </c>
      <c r="H212" s="2"/>
    </row>
    <row r="213" spans="2:8" x14ac:dyDescent="0.25">
      <c r="B213">
        <v>207</v>
      </c>
      <c r="D213" s="2">
        <f t="shared" si="13"/>
        <v>89.855441365982628</v>
      </c>
      <c r="E213">
        <f t="shared" si="14"/>
        <v>0.35237427986659853</v>
      </c>
      <c r="H213" s="2"/>
    </row>
    <row r="214" spans="2:8" x14ac:dyDescent="0.25">
      <c r="B214">
        <v>208</v>
      </c>
      <c r="D214" s="2">
        <f t="shared" si="13"/>
        <v>91.829410049412147</v>
      </c>
      <c r="E214">
        <f t="shared" si="14"/>
        <v>0.36011533352710645</v>
      </c>
      <c r="H214" s="2"/>
    </row>
    <row r="215" spans="2:8" x14ac:dyDescent="0.25">
      <c r="B215">
        <v>209</v>
      </c>
      <c r="D215" s="2">
        <f t="shared" si="13"/>
        <v>93.84674341175176</v>
      </c>
      <c r="E215">
        <f t="shared" si="14"/>
        <v>0.36802644475196766</v>
      </c>
      <c r="H215" s="2"/>
    </row>
    <row r="216" spans="2:8" x14ac:dyDescent="0.25">
      <c r="B216">
        <v>210</v>
      </c>
      <c r="D216" s="2">
        <f t="shared" si="13"/>
        <v>95.908394100017986</v>
      </c>
      <c r="E216">
        <f t="shared" si="14"/>
        <v>0.37611134941183522</v>
      </c>
      <c r="H216" s="2"/>
    </row>
    <row r="217" spans="2:8" x14ac:dyDescent="0.25">
      <c r="B217">
        <v>211</v>
      </c>
      <c r="D217" s="2">
        <f t="shared" si="13"/>
        <v>98.01533568923513</v>
      </c>
      <c r="E217">
        <f t="shared" si="14"/>
        <v>0.38437386544798091</v>
      </c>
      <c r="H217" s="2"/>
    </row>
    <row r="218" spans="2:8" x14ac:dyDescent="0.25">
      <c r="B218">
        <v>212</v>
      </c>
      <c r="D218" s="2">
        <f t="shared" si="13"/>
        <v>100.16856314218747</v>
      </c>
      <c r="E218">
        <f t="shared" si="14"/>
        <v>0.39281789467524497</v>
      </c>
      <c r="H218" s="2"/>
    </row>
    <row r="219" spans="2:8" x14ac:dyDescent="0.25">
      <c r="B219">
        <v>213</v>
      </c>
      <c r="D219" s="2">
        <f t="shared" si="13"/>
        <v>102.36909327927127</v>
      </c>
      <c r="E219">
        <f t="shared" si="14"/>
        <v>0.40144742462459321</v>
      </c>
      <c r="H219" s="2"/>
    </row>
    <row r="220" spans="2:8" x14ac:dyDescent="0.25">
      <c r="B220">
        <v>214</v>
      </c>
      <c r="D220" s="2">
        <f t="shared" si="13"/>
        <v>104.6179652586688</v>
      </c>
      <c r="E220">
        <f t="shared" si="14"/>
        <v>0.41026653042615219</v>
      </c>
      <c r="H220" s="2"/>
    </row>
    <row r="221" spans="2:8" x14ac:dyDescent="0.25">
      <c r="B221">
        <v>215</v>
      </c>
      <c r="D221" s="2">
        <f t="shared" si="13"/>
        <v>106.9162410670709</v>
      </c>
      <c r="E221">
        <f t="shared" si="14"/>
        <v>0.41927937673361138</v>
      </c>
      <c r="H221" s="2"/>
    </row>
    <row r="222" spans="2:8" x14ac:dyDescent="0.25">
      <c r="B222">
        <v>216</v>
      </c>
      <c r="D222" s="2">
        <f t="shared" si="13"/>
        <v>109.26500602117972</v>
      </c>
      <c r="E222">
        <f t="shared" si="14"/>
        <v>0.42849021969090084</v>
      </c>
      <c r="H222" s="2"/>
    </row>
    <row r="223" spans="2:8" x14ac:dyDescent="0.25">
      <c r="B223">
        <v>217</v>
      </c>
      <c r="D223" s="2">
        <f t="shared" si="13"/>
        <v>111.66536928022883</v>
      </c>
      <c r="E223">
        <f t="shared" si="14"/>
        <v>0.43790340894207386</v>
      </c>
      <c r="H223" s="2"/>
    </row>
    <row r="224" spans="2:8" x14ac:dyDescent="0.25">
      <c r="B224">
        <v>218</v>
      </c>
      <c r="D224" s="2">
        <f t="shared" si="13"/>
        <v>114.11846436976242</v>
      </c>
      <c r="E224">
        <f t="shared" si="14"/>
        <v>0.44752338968534283</v>
      </c>
      <c r="H224" s="2"/>
    </row>
    <row r="225" spans="2:8" x14ac:dyDescent="0.25">
      <c r="B225">
        <v>219</v>
      </c>
      <c r="D225" s="2">
        <f t="shared" si="13"/>
        <v>116.62544971692093</v>
      </c>
      <c r="E225">
        <f t="shared" si="14"/>
        <v>0.45735470477223894</v>
      </c>
      <c r="H225" s="2"/>
    </row>
    <row r="226" spans="2:8" x14ac:dyDescent="0.25">
      <c r="B226">
        <v>220</v>
      </c>
      <c r="D226" s="2">
        <f t="shared" si="13"/>
        <v>119.18750919748614</v>
      </c>
      <c r="E226">
        <f t="shared" si="14"/>
        <v>0.4674019968528868</v>
      </c>
      <c r="H226" s="2"/>
    </row>
    <row r="227" spans="2:8" x14ac:dyDescent="0.25">
      <c r="B227">
        <v>221</v>
      </c>
      <c r="D227" s="2">
        <f t="shared" si="13"/>
        <v>121.80585269494377</v>
      </c>
      <c r="E227">
        <f t="shared" si="14"/>
        <v>0.47767001056840691</v>
      </c>
      <c r="H227" s="2"/>
    </row>
    <row r="228" spans="2:8" x14ac:dyDescent="0.25">
      <c r="B228">
        <v>222</v>
      </c>
      <c r="D228" s="2">
        <f t="shared" si="13"/>
        <v>124.4817166718278</v>
      </c>
      <c r="E228">
        <f t="shared" si="14"/>
        <v>0.48816359479148158</v>
      </c>
      <c r="H228" s="2"/>
    </row>
    <row r="229" spans="2:8" x14ac:dyDescent="0.25">
      <c r="B229">
        <v>223</v>
      </c>
      <c r="D229" s="2">
        <f t="shared" si="13"/>
        <v>127.2163647536162</v>
      </c>
      <c r="E229">
        <f t="shared" si="14"/>
        <v>0.49888770491614198</v>
      </c>
      <c r="H229" s="2"/>
    </row>
    <row r="230" spans="2:8" x14ac:dyDescent="0.25">
      <c r="B230">
        <v>224</v>
      </c>
      <c r="D230" s="2">
        <f t="shared" si="13"/>
        <v>130.01108832545384</v>
      </c>
      <c r="E230">
        <f t="shared" si="14"/>
        <v>0.50984740519785821</v>
      </c>
      <c r="H230" s="2"/>
    </row>
    <row r="231" spans="2:8" x14ac:dyDescent="0.25">
      <c r="B231">
        <v>225</v>
      </c>
      <c r="D231" s="2">
        <f t="shared" si="13"/>
        <v>132.86720714198432</v>
      </c>
      <c r="E231">
        <f t="shared" si="14"/>
        <v>0.52104787114503659</v>
      </c>
      <c r="H231" s="2"/>
    </row>
    <row r="232" spans="2:8" x14ac:dyDescent="0.25">
      <c r="B232">
        <v>226</v>
      </c>
      <c r="D232" s="2">
        <f t="shared" si="13"/>
        <v>135.78606995057896</v>
      </c>
      <c r="E232">
        <f t="shared" si="14"/>
        <v>0.5324943919630547</v>
      </c>
      <c r="H232" s="2"/>
    </row>
    <row r="233" spans="2:8" x14ac:dyDescent="0.25">
      <c r="B233">
        <v>227</v>
      </c>
      <c r="D233" s="2">
        <f t="shared" si="13"/>
        <v>138.76905512825664</v>
      </c>
      <c r="E233">
        <f t="shared" si="14"/>
        <v>0.54419237305198687</v>
      </c>
      <c r="H233" s="2"/>
    </row>
    <row r="234" spans="2:8" x14ac:dyDescent="0.25">
      <c r="B234">
        <v>228</v>
      </c>
      <c r="D234" s="2">
        <f t="shared" si="13"/>
        <v>141.81757133259623</v>
      </c>
      <c r="E234">
        <f t="shared" si="14"/>
        <v>0.55614733855920095</v>
      </c>
      <c r="H234" s="2"/>
    </row>
    <row r="235" spans="2:8" x14ac:dyDescent="0.25">
      <c r="B235">
        <v>229</v>
      </c>
      <c r="D235" s="2">
        <f t="shared" si="13"/>
        <v>144.93305816694792</v>
      </c>
      <c r="E235">
        <f t="shared" si="14"/>
        <v>0.56836493398803101</v>
      </c>
      <c r="H235" s="2"/>
    </row>
    <row r="236" spans="2:8" x14ac:dyDescent="0.25">
      <c r="B236">
        <v>230</v>
      </c>
      <c r="D236" s="2">
        <f t="shared" si="13"/>
        <v>148.11698686025835</v>
      </c>
      <c r="E236">
        <f t="shared" si="14"/>
        <v>0.58085092886375822</v>
      </c>
      <c r="H236" s="2"/>
    </row>
    <row r="237" spans="2:8" x14ac:dyDescent="0.25">
      <c r="B237">
        <v>231</v>
      </c>
      <c r="D237" s="2">
        <f t="shared" si="13"/>
        <v>151.37086096183035</v>
      </c>
      <c r="E237">
        <f t="shared" si="14"/>
        <v>0.5936112194581582</v>
      </c>
      <c r="H237" s="2"/>
    </row>
    <row r="238" spans="2:8" x14ac:dyDescent="0.25">
      <c r="B238">
        <v>232</v>
      </c>
      <c r="D238" s="2">
        <f t="shared" si="13"/>
        <v>154.6962170513452</v>
      </c>
      <c r="E238">
        <f t="shared" si="14"/>
        <v>0.60665183157390279</v>
      </c>
      <c r="H238" s="2"/>
    </row>
    <row r="239" spans="2:8" x14ac:dyDescent="0.25">
      <c r="B239">
        <v>233</v>
      </c>
      <c r="D239" s="2">
        <f t="shared" si="13"/>
        <v>158.09462546448307</v>
      </c>
      <c r="E239">
        <f t="shared" si="14"/>
        <v>0.61997892339012972</v>
      </c>
      <c r="H239" s="2"/>
    </row>
    <row r="240" spans="2:8" x14ac:dyDescent="0.25">
      <c r="B240">
        <v>234</v>
      </c>
      <c r="D240" s="2">
        <f t="shared" si="13"/>
        <v>161.56769103448374</v>
      </c>
      <c r="E240">
        <f t="shared" si="14"/>
        <v>0.63359878837052452</v>
      </c>
      <c r="H240" s="2"/>
    </row>
    <row r="241" spans="2:8" x14ac:dyDescent="0.25">
      <c r="B241">
        <v>235</v>
      </c>
      <c r="D241" s="2">
        <f t="shared" si="13"/>
        <v>165.11705384999854</v>
      </c>
      <c r="E241">
        <f t="shared" si="14"/>
        <v>0.6475178582352884</v>
      </c>
      <c r="H241" s="2"/>
    </row>
    <row r="242" spans="2:8" x14ac:dyDescent="0.25">
      <c r="B242">
        <v>236</v>
      </c>
      <c r="D242" s="2">
        <f t="shared" si="13"/>
        <v>168.74439002959062</v>
      </c>
      <c r="E242">
        <f t="shared" si="14"/>
        <v>0.66174270599839458</v>
      </c>
      <c r="H242" s="2"/>
    </row>
    <row r="243" spans="2:8" x14ac:dyDescent="0.25">
      <c r="B243">
        <v>237</v>
      </c>
      <c r="D243" s="2">
        <f t="shared" si="13"/>
        <v>172.45141251324992</v>
      </c>
      <c r="E243">
        <f t="shared" si="14"/>
        <v>0.67628004907156836</v>
      </c>
      <c r="H243" s="2"/>
    </row>
    <row r="244" spans="2:8" x14ac:dyDescent="0.25">
      <c r="B244">
        <v>238</v>
      </c>
      <c r="D244" s="2">
        <f t="shared" si="13"/>
        <v>176.23987187129629</v>
      </c>
      <c r="E244">
        <f t="shared" si="14"/>
        <v>0.691136752436456</v>
      </c>
      <c r="H244" s="2"/>
    </row>
    <row r="245" spans="2:8" x14ac:dyDescent="0.25">
      <c r="B245">
        <v>239</v>
      </c>
      <c r="D245" s="2">
        <f t="shared" si="13"/>
        <v>180.11155713105256</v>
      </c>
      <c r="E245">
        <f t="shared" si="14"/>
        <v>0.70631983188648062</v>
      </c>
      <c r="H245" s="2"/>
    </row>
    <row r="246" spans="2:8" x14ac:dyDescent="0.25">
      <c r="B246">
        <v>240</v>
      </c>
      <c r="D246" s="2">
        <f t="shared" si="13"/>
        <v>184.06829662167868</v>
      </c>
      <c r="E246">
        <f t="shared" si="14"/>
        <v>0.72183645733991642</v>
      </c>
      <c r="H246" s="2"/>
    </row>
    <row r="247" spans="2:8" x14ac:dyDescent="0.25">
      <c r="B247">
        <v>241</v>
      </c>
      <c r="D247" s="2">
        <f t="shared" si="13"/>
        <v>188.11195883756497</v>
      </c>
      <c r="E247">
        <f t="shared" si="14"/>
        <v>0.73769395622574496</v>
      </c>
      <c r="H247" s="2"/>
    </row>
    <row r="248" spans="2:8" x14ac:dyDescent="0.25">
      <c r="B248">
        <v>242</v>
      </c>
      <c r="D248" s="2">
        <f t="shared" si="13"/>
        <v>192.24445332069277</v>
      </c>
      <c r="E248">
        <f t="shared" si="14"/>
        <v>0.75389981694389319</v>
      </c>
      <c r="H248" s="2"/>
    </row>
    <row r="249" spans="2:8" x14ac:dyDescent="0.25">
      <c r="B249">
        <v>243</v>
      </c>
      <c r="D249" s="2">
        <f t="shared" si="13"/>
        <v>196.4677315623791</v>
      </c>
      <c r="E249">
        <f t="shared" si="14"/>
        <v>0.77046169240148665</v>
      </c>
      <c r="H249" s="2"/>
    </row>
    <row r="250" spans="2:8" x14ac:dyDescent="0.25">
      <c r="B250">
        <v>244</v>
      </c>
      <c r="D250" s="2">
        <f t="shared" si="13"/>
        <v>200.78378792483102</v>
      </c>
      <c r="E250">
        <f t="shared" si="14"/>
        <v>0.78738740362678827</v>
      </c>
      <c r="H250" s="2"/>
    </row>
    <row r="251" spans="2:8" x14ac:dyDescent="0.25">
      <c r="B251">
        <v>245</v>
      </c>
      <c r="D251" s="2">
        <f t="shared" si="13"/>
        <v>205.19466058294495</v>
      </c>
      <c r="E251">
        <f t="shared" si="14"/>
        <v>0.80468494346252917</v>
      </c>
      <c r="H251" s="2"/>
    </row>
    <row r="252" spans="2:8" x14ac:dyDescent="0.25">
      <c r="B252">
        <v>246</v>
      </c>
      <c r="D252" s="2">
        <f t="shared" si="13"/>
        <v>209.70243248679566</v>
      </c>
      <c r="E252">
        <f t="shared" si="14"/>
        <v>0.82236248034037518</v>
      </c>
      <c r="H252" s="2"/>
    </row>
    <row r="253" spans="2:8" x14ac:dyDescent="0.25">
      <c r="B253">
        <v>247</v>
      </c>
      <c r="D253" s="2">
        <f t="shared" si="13"/>
        <v>214.30923234526969</v>
      </c>
      <c r="E253">
        <f t="shared" si="14"/>
        <v>0.84042836213831251</v>
      </c>
      <c r="H253" s="2"/>
    </row>
    <row r="254" spans="2:8" x14ac:dyDescent="0.25">
      <c r="B254">
        <v>248</v>
      </c>
      <c r="D254" s="2">
        <f t="shared" si="13"/>
        <v>219.01723563130707</v>
      </c>
      <c r="E254">
        <f t="shared" si="14"/>
        <v>0.8588911201227728</v>
      </c>
      <c r="H254" s="2"/>
    </row>
    <row r="255" spans="2:8" x14ac:dyDescent="0.25">
      <c r="B255">
        <v>249</v>
      </c>
      <c r="D255" s="2">
        <f t="shared" si="13"/>
        <v>223.82866560922687</v>
      </c>
      <c r="E255">
        <f t="shared" si="14"/>
        <v>0.87775947297736034</v>
      </c>
      <c r="H255" s="2"/>
    </row>
    <row r="256" spans="2:8" x14ac:dyDescent="0.25">
      <c r="B256">
        <v>250</v>
      </c>
      <c r="D256" s="2">
        <f t="shared" si="13"/>
        <v>228.74579438462123</v>
      </c>
      <c r="E256">
        <f t="shared" si="14"/>
        <v>0.89704233092008323</v>
      </c>
      <c r="H256" s="2"/>
    </row>
    <row r="257" spans="2:8" x14ac:dyDescent="0.25">
      <c r="B257">
        <v>251</v>
      </c>
      <c r="D257" s="2">
        <f t="shared" si="13"/>
        <v>233.77094397731349</v>
      </c>
      <c r="E257">
        <f t="shared" si="14"/>
        <v>0.91674879991103331</v>
      </c>
      <c r="H257" s="2"/>
    </row>
    <row r="258" spans="2:8" x14ac:dyDescent="0.25">
      <c r="B258">
        <v>252</v>
      </c>
      <c r="D258" s="2">
        <f t="shared" si="13"/>
        <v>238.90648741788772</v>
      </c>
      <c r="E258">
        <f t="shared" si="14"/>
        <v>0.9368881859525009</v>
      </c>
      <c r="H258" s="2"/>
    </row>
    <row r="259" spans="2:8" x14ac:dyDescent="0.25">
      <c r="B259">
        <v>253</v>
      </c>
      <c r="D259" s="2">
        <f t="shared" si="13"/>
        <v>244.15484986830685</v>
      </c>
      <c r="E259">
        <f t="shared" si="14"/>
        <v>0.95746999948355627</v>
      </c>
      <c r="H259" s="2"/>
    </row>
    <row r="260" spans="2:8" x14ac:dyDescent="0.25">
      <c r="B260">
        <v>254</v>
      </c>
      <c r="D260" s="2">
        <f t="shared" si="13"/>
        <v>249.51850976714891</v>
      </c>
      <c r="E260">
        <f t="shared" si="14"/>
        <v>0.97850395987117222</v>
      </c>
      <c r="H260" s="2"/>
    </row>
    <row r="261" spans="2:8" x14ac:dyDescent="0.25">
      <c r="B261">
        <v>255</v>
      </c>
      <c r="D261" s="2">
        <f t="shared" si="13"/>
        <v>255.00000000000222</v>
      </c>
      <c r="E261">
        <f t="shared" si="14"/>
        <v>1.0000000000000087</v>
      </c>
      <c r="H261" s="2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84E0-A0EC-485C-A52A-71E5299BD1A0}">
  <sheetPr codeName="Tabelle2"/>
  <dimension ref="B2:L28"/>
  <sheetViews>
    <sheetView workbookViewId="0">
      <selection activeCell="G3" sqref="G3"/>
    </sheetView>
  </sheetViews>
  <sheetFormatPr baseColWidth="10" defaultRowHeight="15" x14ac:dyDescent="0.25"/>
  <cols>
    <col min="1" max="1" width="3.42578125" customWidth="1"/>
    <col min="2" max="2" width="4.85546875" customWidth="1"/>
  </cols>
  <sheetData>
    <row r="2" spans="2:12" x14ac:dyDescent="0.25">
      <c r="B2" s="4"/>
      <c r="C2" s="4">
        <v>0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</row>
    <row r="3" spans="2:12" x14ac:dyDescent="0.25">
      <c r="B3" s="3">
        <v>0</v>
      </c>
      <c r="C3" s="5">
        <f>INDEX(Ratio!$D$6:$D$261,$B3+C$2+1,1)</f>
        <v>1</v>
      </c>
      <c r="D3" s="5">
        <f>INDEX(Ratio!$D$6:$D$261,$B3+D$2+1,1)</f>
        <v>1.0219682709630185</v>
      </c>
      <c r="E3" s="5">
        <f>INDEX(Ratio!$D$6:$D$261,$B3+E$2+1,1)</f>
        <v>1.0444191468551416</v>
      </c>
      <c r="F3" s="5">
        <f>INDEX(Ratio!$D$6:$D$261,$B3+F$2+1,1)</f>
        <v>1.0673632296722197</v>
      </c>
      <c r="G3" s="5">
        <f>INDEX(Ratio!$D$6:$D$261,$B3+G$2+1,1)</f>
        <v>1.0908113543176217</v>
      </c>
      <c r="H3" s="5">
        <f>INDEX(Ratio!$D$6:$D$261,$B3+H$2+1,1)</f>
        <v>1.1147745937188083</v>
      </c>
      <c r="I3" s="5">
        <f>INDEX(Ratio!$D$6:$D$261,$B3+I$2+1,1)</f>
        <v>1.139264264056312</v>
      </c>
      <c r="J3" s="5">
        <f>INDEX(Ratio!$D$6:$D$261,$B3+J$2+1,1)</f>
        <v>1.1642919301075847</v>
      </c>
      <c r="K3" s="5">
        <f>INDEX(Ratio!$D$6:$D$261,$B3+K$2+1,1)</f>
        <v>1.1898694107082439</v>
      </c>
      <c r="L3" s="5">
        <f>INDEX(Ratio!$D$6:$D$261,$B3+L$2+1,1)</f>
        <v>1.2160087843332896</v>
      </c>
    </row>
    <row r="4" spans="2:12" x14ac:dyDescent="0.25">
      <c r="B4" s="3">
        <v>10</v>
      </c>
      <c r="C4" s="5">
        <f>INDEX(Ratio!$D$6:$D$261,$B4+C$2+1,1)</f>
        <v>1.242722394800934</v>
      </c>
      <c r="D4" s="5">
        <f>INDEX(Ratio!$D$6:$D$261,$B4+D$2+1,1)</f>
        <v>1.2700228571017322</v>
      </c>
      <c r="E4" s="5">
        <f>INDEX(Ratio!$D$6:$D$261,$B4+E$2+1,1)</f>
        <v>1.2979230633557699</v>
      </c>
      <c r="F4" s="5">
        <f>INDEX(Ratio!$D$6:$D$261,$B4+F$2+1,1)</f>
        <v>1.3264361889007206</v>
      </c>
      <c r="G4" s="5">
        <f>INDEX(Ratio!$D$6:$D$261,$B4+G$2+1,1)</f>
        <v>1.3555756985136451</v>
      </c>
      <c r="H4" s="5">
        <f>INDEX(Ratio!$D$6:$D$261,$B4+H$2+1,1)</f>
        <v>1.3853553527694757</v>
      </c>
      <c r="I4" s="5">
        <f>INDEX(Ratio!$D$6:$D$261,$B4+I$2+1,1)</f>
        <v>1.4157892145391837</v>
      </c>
      <c r="J4" s="5">
        <f>INDEX(Ratio!$D$6:$D$261,$B4+J$2+1,1)</f>
        <v>1.4468916556306994</v>
      </c>
      <c r="K4" s="5">
        <f>INDEX(Ratio!$D$6:$D$261,$B4+K$2+1,1)</f>
        <v>1.4786773635757251</v>
      </c>
      <c r="L4" s="5">
        <f>INDEX(Ratio!$D$6:$D$261,$B4+L$2+1,1)</f>
        <v>1.5111613485656381</v>
      </c>
    </row>
    <row r="5" spans="2:12" x14ac:dyDescent="0.25">
      <c r="B5" s="3">
        <v>20</v>
      </c>
      <c r="C5" s="5">
        <f>INDEX(Ratio!$D$6:$D$261,$B5+C$2+1,1)</f>
        <v>1.5443589505397683</v>
      </c>
      <c r="D5" s="5">
        <f>INDEX(Ratio!$D$6:$D$261,$B5+D$2+1,1)</f>
        <v>1.578285846429389</v>
      </c>
      <c r="E5" s="5">
        <f>INDEX(Ratio!$D$6:$D$261,$B5+E$2+1,1)</f>
        <v>1.6129580575608466</v>
      </c>
      <c r="F5" s="5">
        <f>INDEX(Ratio!$D$6:$D$261,$B5+F$2+1,1)</f>
        <v>1.6483919572213273</v>
      </c>
      <c r="G5" s="5">
        <f>INDEX(Ratio!$D$6:$D$261,$B5+G$2+1,1)</f>
        <v>1.6846042783908257</v>
      </c>
      <c r="H5" s="5">
        <f>INDEX(Ratio!$D$6:$D$261,$B5+H$2+1,1)</f>
        <v>1.7216121216439755</v>
      </c>
      <c r="I5" s="5">
        <f>INDEX(Ratio!$D$6:$D$261,$B5+I$2+1,1)</f>
        <v>1.7594329632254675</v>
      </c>
      <c r="J5" s="5">
        <f>INDEX(Ratio!$D$6:$D$261,$B5+J$2+1,1)</f>
        <v>1.7980846633028711</v>
      </c>
      <c r="K5" s="5">
        <f>INDEX(Ratio!$D$6:$D$261,$B5+K$2+1,1)</f>
        <v>1.8375854744007563</v>
      </c>
      <c r="L5" s="5">
        <f>INDEX(Ratio!$D$6:$D$261,$B5+L$2+1,1)</f>
        <v>1.8779540500200989</v>
      </c>
    </row>
    <row r="6" spans="2:12" x14ac:dyDescent="0.25">
      <c r="B6" s="3">
        <v>30</v>
      </c>
      <c r="C6" s="5">
        <f>INDEX(Ratio!$D$6:$D$261,$B6+C$2+1,1)</f>
        <v>1.9192094534470381</v>
      </c>
      <c r="D6" s="5">
        <f>INDEX(Ratio!$D$6:$D$261,$B6+D$2+1,1)</f>
        <v>1.9613711667551492</v>
      </c>
      <c r="E6" s="5">
        <f>INDEX(Ratio!$D$6:$D$261,$B6+E$2+1,1)</f>
        <v>2.0044591000054783</v>
      </c>
      <c r="F6" s="5">
        <f>INDEX(Ratio!$D$6:$D$261,$B6+F$2+1,1)</f>
        <v>2.0484936006486865</v>
      </c>
      <c r="G6" s="5">
        <f>INDEX(Ratio!$D$6:$D$261,$B6+G$2+1,1)</f>
        <v>2.0934954631337463</v>
      </c>
      <c r="H6" s="5">
        <f>INDEX(Ratio!$D$6:$D$261,$B6+H$2+1,1)</f>
        <v>2.1394859387277183</v>
      </c>
      <c r="I6" s="5">
        <f>INDEX(Ratio!$D$6:$D$261,$B6+I$2+1,1)</f>
        <v>2.1864867455512567</v>
      </c>
      <c r="J6" s="5">
        <f>INDEX(Ratio!$D$6:$D$261,$B6+J$2+1,1)</f>
        <v>2.2345200788345747</v>
      </c>
      <c r="K6" s="5">
        <f>INDEX(Ratio!$D$6:$D$261,$B6+K$2+1,1)</f>
        <v>2.2836086213987183</v>
      </c>
      <c r="L6" s="5">
        <f>INDEX(Ratio!$D$6:$D$261,$B6+L$2+1,1)</f>
        <v>2.3337755543670906</v>
      </c>
    </row>
    <row r="7" spans="2:12" x14ac:dyDescent="0.25">
      <c r="B7" s="3">
        <v>40</v>
      </c>
      <c r="C7" s="5">
        <f>INDEX(Ratio!$D$6:$D$261,$B7+C$2+1,1)</f>
        <v>2.3850445681122956</v>
      </c>
      <c r="D7" s="5">
        <f>INDEX(Ratio!$D$6:$D$261,$B7+D$2+1,1)</f>
        <v>2.4374398734434615</v>
      </c>
      <c r="E7" s="5">
        <f>INDEX(Ratio!$D$6:$D$261,$B7+E$2+1,1)</f>
        <v>2.4909862130393328</v>
      </c>
      <c r="F7" s="5">
        <f>INDEX(Ratio!$D$6:$D$261,$B7+F$2+1,1)</f>
        <v>2.5457088731325239</v>
      </c>
      <c r="G7" s="5">
        <f>INDEX(Ratio!$D$6:$D$261,$B7+G$2+1,1)</f>
        <v>2.60163369545046</v>
      </c>
      <c r="H7" s="5">
        <f>INDEX(Ratio!$D$6:$D$261,$B7+H$2+1,1)</f>
        <v>2.6587870894186345</v>
      </c>
      <c r="I7" s="5">
        <f>INDEX(Ratio!$D$6:$D$261,$B7+I$2+1,1)</f>
        <v>2.7171960446319585</v>
      </c>
      <c r="J7" s="5">
        <f>INDEX(Ratio!$D$6:$D$261,$B7+J$2+1,1)</f>
        <v>2.7768881436000754</v>
      </c>
      <c r="K7" s="5">
        <f>INDEX(Ratio!$D$6:$D$261,$B7+K$2+1,1)</f>
        <v>2.8378915747726747</v>
      </c>
      <c r="L7" s="5">
        <f>INDEX(Ratio!$D$6:$D$261,$B7+L$2+1,1)</f>
        <v>2.9002351458509485</v>
      </c>
    </row>
    <row r="8" spans="2:12" x14ac:dyDescent="0.25">
      <c r="B8" s="3">
        <v>50</v>
      </c>
      <c r="C8" s="5">
        <f>INDEX(Ratio!$D$6:$D$261,$B8+C$2+1,1)</f>
        <v>2.9639482973914713</v>
      </c>
      <c r="D8" s="5">
        <f>INDEX(Ratio!$D$6:$D$261,$B8+D$2+1,1)</f>
        <v>3.0290611167089443</v>
      </c>
      <c r="E8" s="5">
        <f>INDEX(Ratio!$D$6:$D$261,$B8+E$2+1,1)</f>
        <v>3.0956043520843495</v>
      </c>
      <c r="F8" s="5">
        <f>INDEX(Ratio!$D$6:$D$261,$B8+F$2+1,1)</f>
        <v>3.1636094272852375</v>
      </c>
      <c r="G8" s="5">
        <f>INDEX(Ratio!$D$6:$D$261,$B8+G$2+1,1)</f>
        <v>3.2331084564049992</v>
      </c>
      <c r="H8" s="5">
        <f>INDEX(Ratio!$D$6:$D$261,$B8+H$2+1,1)</f>
        <v>3.3041342590281308</v>
      </c>
      <c r="I8" s="5">
        <f>INDEX(Ratio!$D$6:$D$261,$B8+I$2+1,1)</f>
        <v>3.3767203757286528</v>
      </c>
      <c r="J8" s="5">
        <f>INDEX(Ratio!$D$6:$D$261,$B8+J$2+1,1)</f>
        <v>3.4509010839090055</v>
      </c>
      <c r="K8" s="5">
        <f>INDEX(Ratio!$D$6:$D$261,$B8+K$2+1,1)</f>
        <v>3.5267114139868925</v>
      </c>
      <c r="L8" s="5">
        <f>INDEX(Ratio!$D$6:$D$261,$B8+L$2+1,1)</f>
        <v>3.6041871659377267</v>
      </c>
    </row>
    <row r="9" spans="2:12" x14ac:dyDescent="0.25">
      <c r="B9" s="3">
        <v>60</v>
      </c>
      <c r="C9" s="5">
        <f>INDEX(Ratio!$D$6:$D$261,$B9+C$2+1,1)</f>
        <v>3.6833649262004799</v>
      </c>
      <c r="D9" s="5">
        <f>INDEX(Ratio!$D$6:$D$261,$B9+D$2+1,1)</f>
        <v>3.7642820849549308</v>
      </c>
      <c r="E9" s="5">
        <f>INDEX(Ratio!$D$6:$D$261,$B9+E$2+1,1)</f>
        <v>3.8469768537784566</v>
      </c>
      <c r="F9" s="5">
        <f>INDEX(Ratio!$D$6:$D$261,$B9+F$2+1,1)</f>
        <v>3.9314882836907219</v>
      </c>
      <c r="G9" s="5">
        <f>INDEX(Ratio!$D$6:$D$261,$B9+G$2+1,1)</f>
        <v>4.0178562835947718</v>
      </c>
      <c r="H9" s="5">
        <f>INDEX(Ratio!$D$6:$D$261,$B9+H$2+1,1)</f>
        <v>4.1061216391232485</v>
      </c>
      <c r="I9" s="5">
        <f>INDEX(Ratio!$D$6:$D$261,$B9+I$2+1,1)</f>
        <v>4.1963260318986206</v>
      </c>
      <c r="J9" s="5">
        <f>INDEX(Ratio!$D$6:$D$261,$B9+J$2+1,1)</f>
        <v>4.2885120592165382</v>
      </c>
      <c r="K9" s="5">
        <f>INDEX(Ratio!$D$6:$D$261,$B9+K$2+1,1)</f>
        <v>4.3827232541615793</v>
      </c>
      <c r="L9" s="5">
        <f>INDEX(Ratio!$D$6:$D$261,$B9+L$2+1,1)</f>
        <v>4.4790041061649228</v>
      </c>
    </row>
    <row r="10" spans="2:12" x14ac:dyDescent="0.25">
      <c r="B10" s="3">
        <v>70</v>
      </c>
      <c r="C10" s="5">
        <f>INDEX(Ratio!$D$6:$D$261,$B10+C$2+1,1)</f>
        <v>4.5774000820136269</v>
      </c>
      <c r="D10" s="5">
        <f>INDEX(Ratio!$D$6:$D$261,$B10+D$2+1,1)</f>
        <v>4.6779576473214446</v>
      </c>
      <c r="E10" s="5">
        <f>INDEX(Ratio!$D$6:$D$261,$B10+E$2+1,1)</f>
        <v>4.780724288471327</v>
      </c>
      <c r="F10" s="5">
        <f>INDEX(Ratio!$D$6:$D$261,$B10+F$2+1,1)</f>
        <v>4.8857485350399488</v>
      </c>
      <c r="G10" s="5">
        <f>INDEX(Ratio!$D$6:$D$261,$B10+G$2+1,1)</f>
        <v>4.9930799827148764</v>
      </c>
      <c r="H10" s="5">
        <f>INDEX(Ratio!$D$6:$D$261,$B10+H$2+1,1)</f>
        <v>5.1027693167151806</v>
      </c>
      <c r="I10" s="5">
        <f>INDEX(Ratio!$D$6:$D$261,$B10+I$2+1,1)</f>
        <v>5.2148683357265559</v>
      </c>
      <c r="J10" s="5">
        <f>INDEX(Ratio!$D$6:$D$261,$B10+J$2+1,1)</f>
        <v>5.3294299763622615</v>
      </c>
      <c r="K10" s="5">
        <f>INDEX(Ratio!$D$6:$D$261,$B10+K$2+1,1)</f>
        <v>5.4465083381614212</v>
      </c>
      <c r="L10" s="5">
        <f>INDEX(Ratio!$D$6:$D$261,$B10+L$2+1,1)</f>
        <v>5.5661587091364915</v>
      </c>
    </row>
    <row r="11" spans="2:12" x14ac:dyDescent="0.25">
      <c r="B11" s="3">
        <v>80</v>
      </c>
      <c r="C11" s="5">
        <f>INDEX(Ratio!$D$6:$D$261,$B11+C$2+1,1)</f>
        <v>5.6884375918819661</v>
      </c>
      <c r="D11" s="5">
        <f>INDEX(Ratio!$D$6:$D$261,$B11+D$2+1,1)</f>
        <v>5.8134027302566498</v>
      </c>
      <c r="E11" s="5">
        <f>INDEX(Ratio!$D$6:$D$261,$B11+E$2+1,1)</f>
        <v>5.9411131366520795</v>
      </c>
      <c r="F11" s="5">
        <f>INDEX(Ratio!$D$6:$D$261,$B11+F$2+1,1)</f>
        <v>6.0716291198600016</v>
      </c>
      <c r="G11" s="5">
        <f>INDEX(Ratio!$D$6:$D$261,$B11+G$2+1,1)</f>
        <v>6.2050123135520385</v>
      </c>
      <c r="H11" s="5">
        <f>INDEX(Ratio!$D$6:$D$261,$B11+H$2+1,1)</f>
        <v>6.3413257053850156</v>
      </c>
      <c r="I11" s="5">
        <f>INDEX(Ratio!$D$6:$D$261,$B11+I$2+1,1)</f>
        <v>6.4806336667456677</v>
      </c>
      <c r="J11" s="5">
        <f>INDEX(Ratio!$D$6:$D$261,$B11+J$2+1,1)</f>
        <v>6.6230019831487965</v>
      </c>
      <c r="K11" s="5">
        <f>INDEX(Ratio!$D$6:$D$261,$B11+K$2+1,1)</f>
        <v>6.7684978853032174</v>
      </c>
      <c r="L11" s="5">
        <f>INDEX(Ratio!$D$6:$D$261,$B11+L$2+1,1)</f>
        <v>6.9171900808601761</v>
      </c>
    </row>
    <row r="12" spans="2:12" x14ac:dyDescent="0.25">
      <c r="B12" s="3">
        <v>90</v>
      </c>
      <c r="C12" s="5">
        <f>INDEX(Ratio!$D$6:$D$261,$B12+C$2+1,1)</f>
        <v>7.0691487868592171</v>
      </c>
      <c r="D12" s="5">
        <f>INDEX(Ratio!$D$6:$D$261,$B12+D$2+1,1)</f>
        <v>7.224445762886833</v>
      </c>
      <c r="E12" s="5">
        <f>INDEX(Ratio!$D$6:$D$261,$B12+E$2+1,1)</f>
        <v>7.383154344963561</v>
      </c>
      <c r="F12" s="5">
        <f>INDEX(Ratio!$D$6:$D$261,$B12+F$2+1,1)</f>
        <v>7.5453494801755081</v>
      </c>
      <c r="G12" s="5">
        <f>INDEX(Ratio!$D$6:$D$261,$B12+G$2+1,1)</f>
        <v>7.7111077620666739</v>
      </c>
      <c r="H12" s="5">
        <f>INDEX(Ratio!$D$6:$D$261,$B12+H$2+1,1)</f>
        <v>7.8805074668087887</v>
      </c>
      <c r="I12" s="5">
        <f>INDEX(Ratio!$D$6:$D$261,$B12+I$2+1,1)</f>
        <v>8.0536285901657347</v>
      </c>
      <c r="J12" s="5">
        <f>INDEX(Ratio!$D$6:$D$261,$B12+J$2+1,1)</f>
        <v>8.2305528852700061</v>
      </c>
      <c r="K12" s="5">
        <f>INDEX(Ratio!$D$6:$D$261,$B12+K$2+1,1)</f>
        <v>8.4113639012290715</v>
      </c>
      <c r="L12" s="5">
        <f>INDEX(Ratio!$D$6:$D$261,$B12+L$2+1,1)</f>
        <v>8.5961470225798227</v>
      </c>
    </row>
    <row r="13" spans="2:12" x14ac:dyDescent="0.25">
      <c r="B13" s="3">
        <v>100</v>
      </c>
      <c r="C13" s="5">
        <f>INDEX(Ratio!$D$6:$D$261,$B13+C$2+1,1)</f>
        <v>8.784989509609801</v>
      </c>
      <c r="D13" s="5">
        <f>INDEX(Ratio!$D$6:$D$261,$B13+D$2+1,1)</f>
        <v>8.9779805395641841</v>
      </c>
      <c r="E13" s="5">
        <f>INDEX(Ratio!$D$6:$D$261,$B13+E$2+1,1)</f>
        <v>9.1752112487580373</v>
      </c>
      <c r="F13" s="5">
        <f>INDEX(Ratio!$D$6:$D$261,$B13+F$2+1,1)</f>
        <v>9.3767747756136881</v>
      </c>
      <c r="G13" s="5">
        <f>INDEX(Ratio!$D$6:$D$261,$B13+G$2+1,1)</f>
        <v>9.5827663046435649</v>
      </c>
      <c r="H13" s="5">
        <f>INDEX(Ratio!$D$6:$D$261,$B13+H$2+1,1)</f>
        <v>9.7932831113992567</v>
      </c>
      <c r="I13" s="5">
        <f>INDEX(Ratio!$D$6:$D$261,$B13+I$2+1,1)</f>
        <v>10.008424608408028</v>
      </c>
      <c r="J13" s="5">
        <f>INDEX(Ratio!$D$6:$D$261,$B13+J$2+1,1)</f>
        <v>10.228292392118478</v>
      </c>
      <c r="K13" s="5">
        <f>INDEX(Ratio!$D$6:$D$261,$B13+K$2+1,1)</f>
        <v>10.452990290877516</v>
      </c>
      <c r="L13" s="5">
        <f>INDEX(Ratio!$D$6:$D$261,$B13+L$2+1,1)</f>
        <v>10.682624413961314</v>
      </c>
    </row>
    <row r="14" spans="2:12" x14ac:dyDescent="0.25">
      <c r="B14" s="3">
        <v>110</v>
      </c>
      <c r="C14" s="5">
        <f>INDEX(Ratio!$D$6:$D$261,$B14+C$2+1,1)</f>
        <v>10.917303201683373</v>
      </c>
      <c r="D14" s="5">
        <f>INDEX(Ratio!$D$6:$D$261,$B14+D$2+1,1)</f>
        <v>11.157137476603381</v>
      </c>
      <c r="E14" s="5">
        <f>INDEX(Ratio!$D$6:$D$261,$B14+E$2+1,1)</f>
        <v>11.402240495861053</v>
      </c>
      <c r="F14" s="5">
        <f>INDEX(Ratio!$D$6:$D$261,$B14+F$2+1,1)</f>
        <v>11.652728004659631</v>
      </c>
      <c r="G14" s="5">
        <f>INDEX(Ratio!$D$6:$D$261,$B14+G$2+1,1)</f>
        <v>11.908718290924346</v>
      </c>
      <c r="H14" s="5">
        <f>INDEX(Ratio!$D$6:$D$261,$B14+H$2+1,1)</f>
        <v>12.170332241161626</v>
      </c>
      <c r="I14" s="5">
        <f>INDEX(Ratio!$D$6:$D$261,$B14+I$2+1,1)</f>
        <v>12.437693397545424</v>
      </c>
      <c r="J14" s="5">
        <f>INDEX(Ratio!$D$6:$D$261,$B14+J$2+1,1)</f>
        <v>12.710928016257649</v>
      </c>
      <c r="K14" s="5">
        <f>INDEX(Ratio!$D$6:$D$261,$B14+K$2+1,1)</f>
        <v>12.990165127110219</v>
      </c>
      <c r="L14" s="5">
        <f>INDEX(Ratio!$D$6:$D$261,$B14+L$2+1,1)</f>
        <v>13.275536594476931</v>
      </c>
    </row>
    <row r="15" spans="2:12" x14ac:dyDescent="0.25">
      <c r="B15" s="3">
        <v>120</v>
      </c>
      <c r="C15" s="5">
        <f>INDEX(Ratio!$D$6:$D$261,$B15+C$2+1,1)</f>
        <v>13.567177179563865</v>
      </c>
      <c r="D15" s="5">
        <f>INDEX(Ratio!$D$6:$D$261,$B15+D$2+1,1)</f>
        <v>13.865224604047805</v>
      </c>
      <c r="E15" s="5">
        <f>INDEX(Ratio!$D$6:$D$261,$B15+E$2+1,1)</f>
        <v>14.169819615112637</v>
      </c>
      <c r="F15" s="5">
        <f>INDEX(Ratio!$D$6:$D$261,$B15+F$2+1,1)</f>
        <v>14.481106051914525</v>
      </c>
      <c r="G15" s="5">
        <f>INDEX(Ratio!$D$6:$D$261,$B15+G$2+1,1)</f>
        <v>14.79923091350719</v>
      </c>
      <c r="H15" s="5">
        <f>INDEX(Ratio!$D$6:$D$261,$B15+H$2+1,1)</f>
        <v>15.124344428259395</v>
      </c>
      <c r="I15" s="5">
        <f>INDEX(Ratio!$D$6:$D$261,$B15+I$2+1,1)</f>
        <v>15.456600124797417</v>
      </c>
      <c r="J15" s="5">
        <f>INDEX(Ratio!$D$6:$D$261,$B15+J$2+1,1)</f>
        <v>15.79615490450599</v>
      </c>
      <c r="K15" s="5">
        <f>INDEX(Ratio!$D$6:$D$261,$B15+K$2+1,1)</f>
        <v>16.143169115621991</v>
      </c>
      <c r="L15" s="5">
        <f>INDEX(Ratio!$D$6:$D$261,$B15+L$2+1,1)</f>
        <v>16.497806628955804</v>
      </c>
    </row>
    <row r="16" spans="2:12" x14ac:dyDescent="0.25">
      <c r="B16" s="3">
        <v>130</v>
      </c>
      <c r="C16" s="5">
        <f>INDEX(Ratio!$D$6:$D$261,$B16+C$2+1,1)</f>
        <v>16.860234915276187</v>
      </c>
      <c r="D16" s="5">
        <f>INDEX(Ratio!$D$6:$D$261,$B16+D$2+1,1)</f>
        <v>17.230625124395122</v>
      </c>
      <c r="E16" s="5">
        <f>INDEX(Ratio!$D$6:$D$261,$B16+E$2+1,1)</f>
        <v>17.609152165990025</v>
      </c>
      <c r="F16" s="5">
        <f>INDEX(Ratio!$D$6:$D$261,$B16+F$2+1,1)</f>
        <v>17.995994792201518</v>
      </c>
      <c r="G16" s="5">
        <f>INDEX(Ratio!$D$6:$D$261,$B16+G$2+1,1)</f>
        <v>18.391335682045671</v>
      </c>
      <c r="H16" s="5">
        <f>INDEX(Ratio!$D$6:$D$261,$B16+H$2+1,1)</f>
        <v>18.795361527680679</v>
      </c>
      <c r="I16" s="5">
        <f>INDEX(Ratio!$D$6:$D$261,$B16+I$2+1,1)</f>
        <v>19.208263122568663</v>
      </c>
      <c r="J16" s="5">
        <f>INDEX(Ratio!$D$6:$D$261,$B16+J$2+1,1)</f>
        <v>19.630235451574208</v>
      </c>
      <c r="K16" s="5">
        <f>INDEX(Ratio!$D$6:$D$261,$B16+K$2+1,1)</f>
        <v>20.061477783042243</v>
      </c>
      <c r="L16" s="5">
        <f>INDEX(Ratio!$D$6:$D$261,$B16+L$2+1,1)</f>
        <v>20.502193762898688</v>
      </c>
    </row>
    <row r="17" spans="2:12" x14ac:dyDescent="0.25">
      <c r="B17" s="3">
        <v>140</v>
      </c>
      <c r="C17" s="5">
        <f>INDEX(Ratio!$D$6:$D$261,$B17+C$2+1,1)</f>
        <v>20.952591510818355</v>
      </c>
      <c r="D17" s="5">
        <f>INDEX(Ratio!$D$6:$D$261,$B17+D$2+1,1)</f>
        <v>21.412883718505451</v>
      </c>
      <c r="E17" s="5">
        <f>INDEX(Ratio!$D$6:$D$261,$B17+E$2+1,1)</f>
        <v>21.883287750133185</v>
      </c>
      <c r="F17" s="5">
        <f>INDEX(Ratio!$D$6:$D$261,$B17+F$2+1,1)</f>
        <v>22.364025744989814</v>
      </c>
      <c r="G17" s="5">
        <f>INDEX(Ratio!$D$6:$D$261,$B17+G$2+1,1)</f>
        <v>22.85532472237967</v>
      </c>
      <c r="H17" s="5">
        <f>INDEX(Ratio!$D$6:$D$261,$B17+H$2+1,1)</f>
        <v>23.357416688828682</v>
      </c>
      <c r="I17" s="5">
        <f>INDEX(Ratio!$D$6:$D$261,$B17+I$2+1,1)</f>
        <v>23.870538747645</v>
      </c>
      <c r="J17" s="5">
        <f>INDEX(Ratio!$D$6:$D$261,$B17+J$2+1,1)</f>
        <v>24.394933210886496</v>
      </c>
      <c r="K17" s="5">
        <f>INDEX(Ratio!$D$6:$D$261,$B17+K$2+1,1)</f>
        <v>24.93084771378799</v>
      </c>
      <c r="L17" s="5">
        <f>INDEX(Ratio!$D$6:$D$261,$B17+L$2+1,1)</f>
        <v>25.478535331702233</v>
      </c>
    </row>
    <row r="18" spans="2:12" x14ac:dyDescent="0.25">
      <c r="B18" s="3">
        <v>150</v>
      </c>
      <c r="C18" s="5">
        <f>INDEX(Ratio!$D$6:$D$261,$B18+C$2+1,1)</f>
        <v>26.038254699609908</v>
      </c>
      <c r="D18" s="5">
        <f>INDEX(Ratio!$D$6:$D$261,$B18+D$2+1,1)</f>
        <v>26.610270134255025</v>
      </c>
      <c r="E18" s="5">
        <f>INDEX(Ratio!$D$6:$D$261,$B18+E$2+1,1)</f>
        <v>27.194851758963459</v>
      </c>
      <c r="F18" s="5">
        <f>INDEX(Ratio!$D$6:$D$261,$B18+F$2+1,1)</f>
        <v>27.792275631203488</v>
      </c>
      <c r="G18" s="5">
        <f>INDEX(Ratio!$D$6:$D$261,$B18+G$2+1,1)</f>
        <v>28.402823872948662</v>
      </c>
      <c r="H18" s="5">
        <f>INDEX(Ratio!$D$6:$D$261,$B18+H$2+1,1)</f>
        <v>29.026784803904487</v>
      </c>
      <c r="I18" s="5">
        <f>INDEX(Ratio!$D$6:$D$261,$B18+I$2+1,1)</f>
        <v>29.664453077661889</v>
      </c>
      <c r="J18" s="5">
        <f>INDEX(Ratio!$D$6:$D$261,$B18+J$2+1,1)</f>
        <v>30.316129820841709</v>
      </c>
      <c r="K18" s="5">
        <f>INDEX(Ratio!$D$6:$D$261,$B18+K$2+1,1)</f>
        <v>30.982122775296006</v>
      </c>
      <c r="L18" s="5">
        <f>INDEX(Ratio!$D$6:$D$261,$B18+L$2+1,1)</f>
        <v>31.66274644343321</v>
      </c>
    </row>
    <row r="19" spans="2:12" x14ac:dyDescent="0.25">
      <c r="B19" s="3">
        <v>160</v>
      </c>
      <c r="C19" s="5">
        <f>INDEX(Ratio!$D$6:$D$261,$B19+C$2+1,1)</f>
        <v>32.358322236735901</v>
      </c>
      <c r="D19" s="5">
        <f>INDEX(Ratio!$D$6:$D$261,$B19+D$2+1,1)</f>
        <v>33.069178627541177</v>
      </c>
      <c r="E19" s="5">
        <f>INDEX(Ratio!$D$6:$D$261,$B19+E$2+1,1)</f>
        <v>33.795651304155463</v>
      </c>
      <c r="F19" s="5">
        <f>INDEX(Ratio!$D$6:$D$261,$B19+F$2+1,1)</f>
        <v>34.538083329376846</v>
      </c>
      <c r="G19" s="5">
        <f>INDEX(Ratio!$D$6:$D$261,$B19+G$2+1,1)</f>
        <v>35.296825302499904</v>
      </c>
      <c r="H19" s="5">
        <f>INDEX(Ratio!$D$6:$D$261,$B19+H$2+1,1)</f>
        <v>36.072235524879552</v>
      </c>
      <c r="I19" s="5">
        <f>INDEX(Ratio!$D$6:$D$261,$B19+I$2+1,1)</f>
        <v>36.864680169131923</v>
      </c>
      <c r="J19" s="5">
        <f>INDEX(Ratio!$D$6:$D$261,$B19+J$2+1,1)</f>
        <v>37.67453345205243</v>
      </c>
      <c r="K19" s="5">
        <f>INDEX(Ratio!$D$6:$D$261,$B19+K$2+1,1)</f>
        <v>38.502177811332416</v>
      </c>
      <c r="L19" s="5">
        <f>INDEX(Ratio!$D$6:$D$261,$B19+L$2+1,1)</f>
        <v>39.348004086158085</v>
      </c>
    </row>
    <row r="20" spans="2:12" x14ac:dyDescent="0.25">
      <c r="B20" s="3">
        <v>170</v>
      </c>
      <c r="C20" s="5">
        <f>INDEX(Ratio!$D$6:$D$261,$B20+C$2+1,1)</f>
        <v>40.212411701776759</v>
      </c>
      <c r="D20" s="5">
        <f>INDEX(Ratio!$D$6:$D$261,$B20+D$2+1,1)</f>
        <v>41.095808858117842</v>
      </c>
      <c r="E20" s="5">
        <f>INDEX(Ratio!$D$6:$D$261,$B20+E$2+1,1)</f>
        <v>41.99861272255739</v>
      </c>
      <c r="F20" s="5">
        <f>INDEX(Ratio!$D$6:$D$261,$B20+F$2+1,1)</f>
        <v>42.921249626917408</v>
      </c>
      <c r="G20" s="5">
        <f>INDEX(Ratio!$D$6:$D$261,$B20+G$2+1,1)</f>
        <v>43.864155268792878</v>
      </c>
      <c r="H20" s="5">
        <f>INDEX(Ratio!$D$6:$D$261,$B20+H$2+1,1)</f>
        <v>44.827774917301632</v>
      </c>
      <c r="I20" s="5">
        <f>INDEX(Ratio!$D$6:$D$261,$B20+I$2+1,1)</f>
        <v>45.812563623354116</v>
      </c>
      <c r="J20" s="5">
        <f>INDEX(Ratio!$D$6:$D$261,$B20+J$2+1,1)</f>
        <v>46.818986434542488</v>
      </c>
      <c r="K20" s="5">
        <f>INDEX(Ratio!$D$6:$D$261,$B20+K$2+1,1)</f>
        <v>47.847518614750406</v>
      </c>
      <c r="L20" s="5">
        <f>INDEX(Ratio!$D$6:$D$261,$B20+L$2+1,1)</f>
        <v>48.898645868587309</v>
      </c>
    </row>
    <row r="21" spans="2:12" x14ac:dyDescent="0.25">
      <c r="B21" s="3">
        <v>180</v>
      </c>
      <c r="C21" s="5">
        <f>INDEX(Ratio!$D$6:$D$261,$B21+C$2+1,1)</f>
        <v>49.972864570753117</v>
      </c>
      <c r="D21" s="5">
        <f>INDEX(Ratio!$D$6:$D$261,$B21+D$2+1,1)</f>
        <v>51.07068200044165</v>
      </c>
      <c r="E21" s="5">
        <f>INDEX(Ratio!$D$6:$D$261,$B21+E$2+1,1)</f>
        <v>52.1926165808935</v>
      </c>
      <c r="F21" s="5">
        <f>INDEX(Ratio!$D$6:$D$261,$B21+F$2+1,1)</f>
        <v>53.339198124211507</v>
      </c>
      <c r="G21" s="5">
        <f>INDEX(Ratio!$D$6:$D$261,$B21+G$2+1,1)</f>
        <v>54.510968081554303</v>
      </c>
      <c r="H21" s="5">
        <f>INDEX(Ratio!$D$6:$D$261,$B21+H$2+1,1)</f>
        <v>55.708479798826346</v>
      </c>
      <c r="I21" s="5">
        <f>INDEX(Ratio!$D$6:$D$261,$B21+I$2+1,1)</f>
        <v>56.932298777984798</v>
      </c>
      <c r="J21" s="5">
        <f>INDEX(Ratio!$D$6:$D$261,$B21+J$2+1,1)</f>
        <v>58.183002944087093</v>
      </c>
      <c r="K21" s="5">
        <f>INDEX(Ratio!$D$6:$D$261,$B21+K$2+1,1)</f>
        <v>59.461182918204905</v>
      </c>
      <c r="L21" s="5">
        <f>INDEX(Ratio!$D$6:$D$261,$B21+L$2+1,1)</f>
        <v>60.767442296333634</v>
      </c>
    </row>
    <row r="22" spans="2:12" x14ac:dyDescent="0.25">
      <c r="B22" s="3">
        <v>190</v>
      </c>
      <c r="C22" s="5">
        <f>INDEX(Ratio!$D$6:$D$261,$B22+C$2+1,1)</f>
        <v>62.102397934429078</v>
      </c>
      <c r="D22" s="5">
        <f>INDEX(Ratio!$D$6:$D$261,$B22+D$2+1,1)</f>
        <v>63.466680239705809</v>
      </c>
      <c r="E22" s="5">
        <f>INDEX(Ratio!$D$6:$D$261,$B22+E$2+1,1)</f>
        <v>64.86093346833492</v>
      </c>
      <c r="F22" s="5">
        <f>INDEX(Ratio!$D$6:$D$261,$B22+F$2+1,1)</f>
        <v>66.285816029681612</v>
      </c>
      <c r="G22" s="5">
        <f>INDEX(Ratio!$D$6:$D$261,$B22+G$2+1,1)</f>
        <v>67.742000797226453</v>
      </c>
      <c r="H22" s="5">
        <f>INDEX(Ratio!$D$6:$D$261,$B22+H$2+1,1)</f>
        <v>69.230175426316933</v>
      </c>
      <c r="I22" s="5">
        <f>INDEX(Ratio!$D$6:$D$261,$B22+I$2+1,1)</f>
        <v>70.751042678899566</v>
      </c>
      <c r="J22" s="5">
        <f>INDEX(Ratio!$D$6:$D$261,$B22+J$2+1,1)</f>
        <v>72.305320755385722</v>
      </c>
      <c r="K22" s="5">
        <f>INDEX(Ratio!$D$6:$D$261,$B22+K$2+1,1)</f>
        <v>73.893743633807986</v>
      </c>
      <c r="L22" s="5">
        <f>INDEX(Ratio!$D$6:$D$261,$B22+L$2+1,1)</f>
        <v>75.51706141642731</v>
      </c>
    </row>
    <row r="23" spans="2:12" x14ac:dyDescent="0.25">
      <c r="B23" s="3">
        <v>200</v>
      </c>
      <c r="C23" s="5">
        <f>INDEX(Ratio!$D$6:$D$261,$B23+C$2+1,1)</f>
        <v>77.176040683954298</v>
      </c>
      <c r="D23" s="5">
        <f>INDEX(Ratio!$D$6:$D$261,$B23+D$2+1,1)</f>
        <v>78.87146485755234</v>
      </c>
      <c r="E23" s="5">
        <f>INDEX(Ratio!$D$6:$D$261,$B23+E$2+1,1)</f>
        <v>80.604134568793242</v>
      </c>
      <c r="F23" s="5">
        <f>INDEX(Ratio!$D$6:$D$261,$B23+F$2+1,1)</f>
        <v>82.374868037740086</v>
      </c>
      <c r="G23" s="5">
        <f>INDEX(Ratio!$D$6:$D$261,$B23+G$2+1,1)</f>
        <v>84.184501459336047</v>
      </c>
      <c r="H23" s="5">
        <f>INDEX(Ratio!$D$6:$D$261,$B23+H$2+1,1)</f>
        <v>86.03388939828136</v>
      </c>
      <c r="I23" s="5">
        <f>INDEX(Ratio!$D$6:$D$261,$B23+I$2+1,1)</f>
        <v>87.923905192585167</v>
      </c>
      <c r="J23" s="5">
        <f>INDEX(Ratio!$D$6:$D$261,$B23+J$2+1,1)</f>
        <v>89.855441365982628</v>
      </c>
      <c r="K23" s="5">
        <f>INDEX(Ratio!$D$6:$D$261,$B23+K$2+1,1)</f>
        <v>91.829410049412147</v>
      </c>
      <c r="L23" s="5">
        <f>INDEX(Ratio!$D$6:$D$261,$B23+L$2+1,1)</f>
        <v>93.84674341175176</v>
      </c>
    </row>
    <row r="24" spans="2:12" x14ac:dyDescent="0.25">
      <c r="B24" s="3">
        <v>210</v>
      </c>
      <c r="C24" s="5">
        <f>INDEX(Ratio!$D$6:$D$261,$B24+C$2+1,1)</f>
        <v>95.908394100017986</v>
      </c>
      <c r="D24" s="5">
        <f>INDEX(Ratio!$D$6:$D$261,$B24+D$2+1,1)</f>
        <v>98.01533568923513</v>
      </c>
      <c r="E24" s="5">
        <f>INDEX(Ratio!$D$6:$D$261,$B24+E$2+1,1)</f>
        <v>100.16856314218747</v>
      </c>
      <c r="F24" s="5">
        <f>INDEX(Ratio!$D$6:$D$261,$B24+F$2+1,1)</f>
        <v>102.36909327927127</v>
      </c>
      <c r="G24" s="5">
        <f>INDEX(Ratio!$D$6:$D$261,$B24+G$2+1,1)</f>
        <v>104.6179652586688</v>
      </c>
      <c r="H24" s="5">
        <f>INDEX(Ratio!$D$6:$D$261,$B24+H$2+1,1)</f>
        <v>106.9162410670709</v>
      </c>
      <c r="I24" s="5">
        <f>INDEX(Ratio!$D$6:$D$261,$B24+I$2+1,1)</f>
        <v>109.26500602117972</v>
      </c>
      <c r="J24" s="5">
        <f>INDEX(Ratio!$D$6:$D$261,$B24+J$2+1,1)</f>
        <v>111.66536928022883</v>
      </c>
      <c r="K24" s="5">
        <f>INDEX(Ratio!$D$6:$D$261,$B24+K$2+1,1)</f>
        <v>114.11846436976242</v>
      </c>
      <c r="L24" s="5">
        <f>INDEX(Ratio!$D$6:$D$261,$B24+L$2+1,1)</f>
        <v>116.62544971692093</v>
      </c>
    </row>
    <row r="25" spans="2:12" x14ac:dyDescent="0.25">
      <c r="B25" s="3">
        <v>220</v>
      </c>
      <c r="C25" s="5">
        <f>INDEX(Ratio!$D$6:$D$261,$B25+C$2+1,1)</f>
        <v>119.18750919748614</v>
      </c>
      <c r="D25" s="5">
        <f>INDEX(Ratio!$D$6:$D$261,$B25+D$2+1,1)</f>
        <v>121.80585269494377</v>
      </c>
      <c r="E25" s="5">
        <f>INDEX(Ratio!$D$6:$D$261,$B25+E$2+1,1)</f>
        <v>124.4817166718278</v>
      </c>
      <c r="F25" s="5">
        <f>INDEX(Ratio!$D$6:$D$261,$B25+F$2+1,1)</f>
        <v>127.2163647536162</v>
      </c>
      <c r="G25" s="5">
        <f>INDEX(Ratio!$D$6:$D$261,$B25+G$2+1,1)</f>
        <v>130.01108832545384</v>
      </c>
      <c r="H25" s="5">
        <f>INDEX(Ratio!$D$6:$D$261,$B25+H$2+1,1)</f>
        <v>132.86720714198432</v>
      </c>
      <c r="I25" s="5">
        <f>INDEX(Ratio!$D$6:$D$261,$B25+I$2+1,1)</f>
        <v>135.78606995057896</v>
      </c>
      <c r="J25" s="5">
        <f>INDEX(Ratio!$D$6:$D$261,$B25+J$2+1,1)</f>
        <v>138.76905512825664</v>
      </c>
      <c r="K25" s="5">
        <f>INDEX(Ratio!$D$6:$D$261,$B25+K$2+1,1)</f>
        <v>141.81757133259623</v>
      </c>
      <c r="L25" s="5">
        <f>INDEX(Ratio!$D$6:$D$261,$B25+L$2+1,1)</f>
        <v>144.93305816694792</v>
      </c>
    </row>
    <row r="26" spans="2:12" x14ac:dyDescent="0.25">
      <c r="B26" s="3">
        <v>230</v>
      </c>
      <c r="C26" s="5">
        <f>INDEX(Ratio!$D$6:$D$261,$B26+C$2+1,1)</f>
        <v>148.11698686025835</v>
      </c>
      <c r="D26" s="5">
        <f>INDEX(Ratio!$D$6:$D$261,$B26+D$2+1,1)</f>
        <v>151.37086096183035</v>
      </c>
      <c r="E26" s="5">
        <f>INDEX(Ratio!$D$6:$D$261,$B26+E$2+1,1)</f>
        <v>154.6962170513452</v>
      </c>
      <c r="F26" s="5">
        <f>INDEX(Ratio!$D$6:$D$261,$B26+F$2+1,1)</f>
        <v>158.09462546448307</v>
      </c>
      <c r="G26" s="5">
        <f>INDEX(Ratio!$D$6:$D$261,$B26+G$2+1,1)</f>
        <v>161.56769103448374</v>
      </c>
      <c r="H26" s="5">
        <f>INDEX(Ratio!$D$6:$D$261,$B26+H$2+1,1)</f>
        <v>165.11705384999854</v>
      </c>
      <c r="I26" s="5">
        <f>INDEX(Ratio!$D$6:$D$261,$B26+I$2+1,1)</f>
        <v>168.74439002959062</v>
      </c>
      <c r="J26" s="5">
        <f>INDEX(Ratio!$D$6:$D$261,$B26+J$2+1,1)</f>
        <v>172.45141251324992</v>
      </c>
      <c r="K26" s="5">
        <f>INDEX(Ratio!$D$6:$D$261,$B26+K$2+1,1)</f>
        <v>176.23987187129629</v>
      </c>
      <c r="L26" s="5">
        <f>INDEX(Ratio!$D$6:$D$261,$B26+L$2+1,1)</f>
        <v>180.11155713105256</v>
      </c>
    </row>
    <row r="27" spans="2:12" x14ac:dyDescent="0.25">
      <c r="B27" s="3">
        <v>240</v>
      </c>
      <c r="C27" s="5">
        <f>INDEX(Ratio!$D$6:$D$261,$B27+C$2+1,1)</f>
        <v>184.06829662167868</v>
      </c>
      <c r="D27" s="5">
        <f>INDEX(Ratio!$D$6:$D$261,$B27+D$2+1,1)</f>
        <v>188.11195883756497</v>
      </c>
      <c r="E27" s="5">
        <f>INDEX(Ratio!$D$6:$D$261,$B27+E$2+1,1)</f>
        <v>192.24445332069277</v>
      </c>
      <c r="F27" s="5">
        <f>INDEX(Ratio!$D$6:$D$261,$B27+F$2+1,1)</f>
        <v>196.4677315623791</v>
      </c>
      <c r="G27" s="5">
        <f>INDEX(Ratio!$D$6:$D$261,$B27+G$2+1,1)</f>
        <v>200.78378792483102</v>
      </c>
      <c r="H27" s="5">
        <f>INDEX(Ratio!$D$6:$D$261,$B27+H$2+1,1)</f>
        <v>205.19466058294495</v>
      </c>
      <c r="I27" s="5">
        <f>INDEX(Ratio!$D$6:$D$261,$B27+I$2+1,1)</f>
        <v>209.70243248679566</v>
      </c>
      <c r="J27" s="5">
        <f>INDEX(Ratio!$D$6:$D$261,$B27+J$2+1,1)</f>
        <v>214.30923234526969</v>
      </c>
      <c r="K27" s="5">
        <f>INDEX(Ratio!$D$6:$D$261,$B27+K$2+1,1)</f>
        <v>219.01723563130707</v>
      </c>
      <c r="L27" s="5">
        <f>INDEX(Ratio!$D$6:$D$261,$B27+L$2+1,1)</f>
        <v>223.82866560922687</v>
      </c>
    </row>
    <row r="28" spans="2:12" x14ac:dyDescent="0.25">
      <c r="B28" s="3">
        <v>250</v>
      </c>
      <c r="C28" s="5">
        <f>INDEX(Ratio!$D$6:$D$261,$B28+C$2+1,1)</f>
        <v>228.74579438462123</v>
      </c>
      <c r="D28" s="5">
        <f>INDEX(Ratio!$D$6:$D$261,$B28+D$2+1,1)</f>
        <v>233.77094397731349</v>
      </c>
      <c r="E28" s="5">
        <f>INDEX(Ratio!$D$6:$D$261,$B28+E$2+1,1)</f>
        <v>238.90648741788772</v>
      </c>
      <c r="F28" s="5">
        <f>INDEX(Ratio!$D$6:$D$261,$B28+F$2+1,1)</f>
        <v>244.15484986830685</v>
      </c>
      <c r="G28" s="5">
        <f>INDEX(Ratio!$D$6:$D$261,$B28+G$2+1,1)</f>
        <v>249.51850976714891</v>
      </c>
      <c r="H28" s="5">
        <f>INDEX(Ratio!$D$6:$D$261,$B28+H$2+1,1)</f>
        <v>255.00000000000222</v>
      </c>
      <c r="I28" s="2"/>
      <c r="J28" s="2"/>
      <c r="K28" s="2"/>
      <c r="L28" s="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Ratio</vt:lpstr>
      <vt:lpstr>CSV 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Ralf Sondershaus</dc:creator>
  <cp:lastModifiedBy>Ralf Sondershaus</cp:lastModifiedBy>
  <dcterms:created xsi:type="dcterms:W3CDTF">2019-03-02T18:54:04Z</dcterms:created>
  <dcterms:modified xsi:type="dcterms:W3CDTF">2020-05-02T18:28:48Z</dcterms:modified>
</cp:coreProperties>
</file>